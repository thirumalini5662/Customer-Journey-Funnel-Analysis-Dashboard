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nel_Data" sheetId="1" state="visible" r:id="rId3"/>
    <sheet name="Stage_Summary" sheetId="2" state="visible" r:id="rId4"/>
    <sheet name="Channel_Performance" sheetId="3" state="visible" r:id="rId5"/>
    <sheet name="KPI_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<sst xmlns="http://schemas.openxmlformats.org/spreadsheetml/2006/main" count="2080" uniqueCount="575">
  <si>
    <t xml:space="preserve">CUSTOMER JOURNEY &amp; FUNNEL ANALYSIS — Raw Data</t>
  </si>
  <si>
    <t xml:space="preserve">Record_ID</t>
  </si>
  <si>
    <t xml:space="preserve">Month</t>
  </si>
  <si>
    <t xml:space="preserve">Channel</t>
  </si>
  <si>
    <t xml:space="preserve">Stage</t>
  </si>
  <si>
    <t xml:space="preserve">Users</t>
  </si>
  <si>
    <t xml:space="preserve">Prev_Stage_Users</t>
  </si>
  <si>
    <t xml:space="preserve">Conversion_Rate</t>
  </si>
  <si>
    <t xml:space="preserve">Revenue_INR</t>
  </si>
  <si>
    <t xml:space="preserve">Revenue_per_User_INR</t>
  </si>
  <si>
    <t xml:space="preserve">Drop_Off_Rate</t>
  </si>
  <si>
    <t xml:space="preserve">R0001</t>
  </si>
  <si>
    <t xml:space="preserve">Jan 2024</t>
  </si>
  <si>
    <t xml:space="preserve">Organic Search</t>
  </si>
  <si>
    <t xml:space="preserve">Website Visit</t>
  </si>
  <si>
    <t xml:space="preserve">R0002</t>
  </si>
  <si>
    <t xml:space="preserve">Landing Page</t>
  </si>
  <si>
    <t xml:space="preserve">R0003</t>
  </si>
  <si>
    <t xml:space="preserve">Signup</t>
  </si>
  <si>
    <t xml:space="preserve">R0004</t>
  </si>
  <si>
    <t xml:space="preserve">Product View</t>
  </si>
  <si>
    <t xml:space="preserve">R0005</t>
  </si>
  <si>
    <t xml:space="preserve">Add to Cart</t>
  </si>
  <si>
    <t xml:space="preserve">R0006</t>
  </si>
  <si>
    <t xml:space="preserve">Checkout</t>
  </si>
  <si>
    <t xml:space="preserve">R0007</t>
  </si>
  <si>
    <t xml:space="preserve">Purchase</t>
  </si>
  <si>
    <t xml:space="preserve">R0008</t>
  </si>
  <si>
    <t xml:space="preserve">Paid Ads</t>
  </si>
  <si>
    <t xml:space="preserve">R0009</t>
  </si>
  <si>
    <t xml:space="preserve">R0010</t>
  </si>
  <si>
    <t xml:space="preserve">R0011</t>
  </si>
  <si>
    <t xml:space="preserve">R0012</t>
  </si>
  <si>
    <t xml:space="preserve">R0013</t>
  </si>
  <si>
    <t xml:space="preserve">R0014</t>
  </si>
  <si>
    <t xml:space="preserve">R0015</t>
  </si>
  <si>
    <t xml:space="preserve">Social Media</t>
  </si>
  <si>
    <t xml:space="preserve">R0016</t>
  </si>
  <si>
    <t xml:space="preserve">R0017</t>
  </si>
  <si>
    <t xml:space="preserve">R0018</t>
  </si>
  <si>
    <t xml:space="preserve">R0019</t>
  </si>
  <si>
    <t xml:space="preserve">R0020</t>
  </si>
  <si>
    <t xml:space="preserve">R0021</t>
  </si>
  <si>
    <t xml:space="preserve">R0022</t>
  </si>
  <si>
    <t xml:space="preserve">Email Campaign</t>
  </si>
  <si>
    <t xml:space="preserve">R0023</t>
  </si>
  <si>
    <t xml:space="preserve">R0024</t>
  </si>
  <si>
    <t xml:space="preserve">R0025</t>
  </si>
  <si>
    <t xml:space="preserve">R0026</t>
  </si>
  <si>
    <t xml:space="preserve">R0027</t>
  </si>
  <si>
    <t xml:space="preserve">R0028</t>
  </si>
  <si>
    <t xml:space="preserve">R0029</t>
  </si>
  <si>
    <t xml:space="preserve">Referral</t>
  </si>
  <si>
    <t xml:space="preserve">R0030</t>
  </si>
  <si>
    <t xml:space="preserve">R0031</t>
  </si>
  <si>
    <t xml:space="preserve">R0032</t>
  </si>
  <si>
    <t xml:space="preserve">R0033</t>
  </si>
  <si>
    <t xml:space="preserve">R0034</t>
  </si>
  <si>
    <t xml:space="preserve">R0035</t>
  </si>
  <si>
    <t xml:space="preserve">R0036</t>
  </si>
  <si>
    <t xml:space="preserve">Direct Traffic</t>
  </si>
  <si>
    <t xml:space="preserve">R0037</t>
  </si>
  <si>
    <t xml:space="preserve">R0038</t>
  </si>
  <si>
    <t xml:space="preserve">R0039</t>
  </si>
  <si>
    <t xml:space="preserve">R0040</t>
  </si>
  <si>
    <t xml:space="preserve">R0041</t>
  </si>
  <si>
    <t xml:space="preserve">R0042</t>
  </si>
  <si>
    <t xml:space="preserve">R0043</t>
  </si>
  <si>
    <t xml:space="preserve">Feb 2024</t>
  </si>
  <si>
    <t xml:space="preserve">R0044</t>
  </si>
  <si>
    <t xml:space="preserve">R0045</t>
  </si>
  <si>
    <t xml:space="preserve">R0046</t>
  </si>
  <si>
    <t xml:space="preserve">R0047</t>
  </si>
  <si>
    <t xml:space="preserve">R0048</t>
  </si>
  <si>
    <t xml:space="preserve">R0049</t>
  </si>
  <si>
    <t xml:space="preserve">R0050</t>
  </si>
  <si>
    <t xml:space="preserve">R0051</t>
  </si>
  <si>
    <t xml:space="preserve">R0052</t>
  </si>
  <si>
    <t xml:space="preserve">R0053</t>
  </si>
  <si>
    <t xml:space="preserve">R0054</t>
  </si>
  <si>
    <t xml:space="preserve">R0055</t>
  </si>
  <si>
    <t xml:space="preserve">R0056</t>
  </si>
  <si>
    <t xml:space="preserve">R0057</t>
  </si>
  <si>
    <t xml:space="preserve">R0058</t>
  </si>
  <si>
    <t xml:space="preserve">R0059</t>
  </si>
  <si>
    <t xml:space="preserve">R0060</t>
  </si>
  <si>
    <t xml:space="preserve">R0061</t>
  </si>
  <si>
    <t xml:space="preserve">R0062</t>
  </si>
  <si>
    <t xml:space="preserve">R0063</t>
  </si>
  <si>
    <t xml:space="preserve">R0064</t>
  </si>
  <si>
    <t xml:space="preserve">R0065</t>
  </si>
  <si>
    <t xml:space="preserve">R0066</t>
  </si>
  <si>
    <t xml:space="preserve">R0067</t>
  </si>
  <si>
    <t xml:space="preserve">R0068</t>
  </si>
  <si>
    <t xml:space="preserve">R0069</t>
  </si>
  <si>
    <t xml:space="preserve">R0070</t>
  </si>
  <si>
    <t xml:space="preserve">R0071</t>
  </si>
  <si>
    <t xml:space="preserve">R0072</t>
  </si>
  <si>
    <t xml:space="preserve">R0073</t>
  </si>
  <si>
    <t xml:space="preserve">R0074</t>
  </si>
  <si>
    <t xml:space="preserve">R0075</t>
  </si>
  <si>
    <t xml:space="preserve">R0076</t>
  </si>
  <si>
    <t xml:space="preserve">R0077</t>
  </si>
  <si>
    <t xml:space="preserve">R0078</t>
  </si>
  <si>
    <t xml:space="preserve">R0079</t>
  </si>
  <si>
    <t xml:space="preserve">R0080</t>
  </si>
  <si>
    <t xml:space="preserve">R0081</t>
  </si>
  <si>
    <t xml:space="preserve">R0082</t>
  </si>
  <si>
    <t xml:space="preserve">R0083</t>
  </si>
  <si>
    <t xml:space="preserve">R0084</t>
  </si>
  <si>
    <t xml:space="preserve">R0085</t>
  </si>
  <si>
    <t xml:space="preserve">Mar 2024</t>
  </si>
  <si>
    <t xml:space="preserve">R0086</t>
  </si>
  <si>
    <t xml:space="preserve">R0087</t>
  </si>
  <si>
    <t xml:space="preserve">R0088</t>
  </si>
  <si>
    <t xml:space="preserve">R0089</t>
  </si>
  <si>
    <t xml:space="preserve">R0090</t>
  </si>
  <si>
    <t xml:space="preserve">R0091</t>
  </si>
  <si>
    <t xml:space="preserve">R0092</t>
  </si>
  <si>
    <t xml:space="preserve">R0093</t>
  </si>
  <si>
    <t xml:space="preserve">R0094</t>
  </si>
  <si>
    <t xml:space="preserve">R0095</t>
  </si>
  <si>
    <t xml:space="preserve">R0096</t>
  </si>
  <si>
    <t xml:space="preserve">R0097</t>
  </si>
  <si>
    <t xml:space="preserve">R0098</t>
  </si>
  <si>
    <t xml:space="preserve">R0099</t>
  </si>
  <si>
    <t xml:space="preserve">R0100</t>
  </si>
  <si>
    <t xml:space="preserve">R0101</t>
  </si>
  <si>
    <t xml:space="preserve">R0102</t>
  </si>
  <si>
    <t xml:space="preserve">R0103</t>
  </si>
  <si>
    <t xml:space="preserve">R0104</t>
  </si>
  <si>
    <t xml:space="preserve">R0105</t>
  </si>
  <si>
    <t xml:space="preserve">R0106</t>
  </si>
  <si>
    <t xml:space="preserve">R0107</t>
  </si>
  <si>
    <t xml:space="preserve">R0108</t>
  </si>
  <si>
    <t xml:space="preserve">R0109</t>
  </si>
  <si>
    <t xml:space="preserve">R0110</t>
  </si>
  <si>
    <t xml:space="preserve">R0111</t>
  </si>
  <si>
    <t xml:space="preserve">R0112</t>
  </si>
  <si>
    <t xml:space="preserve">R0113</t>
  </si>
  <si>
    <t xml:space="preserve">R0114</t>
  </si>
  <si>
    <t xml:space="preserve">R0115</t>
  </si>
  <si>
    <t xml:space="preserve">R0116</t>
  </si>
  <si>
    <t xml:space="preserve">R0117</t>
  </si>
  <si>
    <t xml:space="preserve">R0118</t>
  </si>
  <si>
    <t xml:space="preserve">R0119</t>
  </si>
  <si>
    <t xml:space="preserve">R0120</t>
  </si>
  <si>
    <t xml:space="preserve">R0121</t>
  </si>
  <si>
    <t xml:space="preserve">R0122</t>
  </si>
  <si>
    <t xml:space="preserve">R0123</t>
  </si>
  <si>
    <t xml:space="preserve">R0124</t>
  </si>
  <si>
    <t xml:space="preserve">R0125</t>
  </si>
  <si>
    <t xml:space="preserve">R0126</t>
  </si>
  <si>
    <t xml:space="preserve">R0127</t>
  </si>
  <si>
    <t xml:space="preserve">Apr 2024</t>
  </si>
  <si>
    <t xml:space="preserve">R0128</t>
  </si>
  <si>
    <t xml:space="preserve">R0129</t>
  </si>
  <si>
    <t xml:space="preserve">R0130</t>
  </si>
  <si>
    <t xml:space="preserve">R0131</t>
  </si>
  <si>
    <t xml:space="preserve">R0132</t>
  </si>
  <si>
    <t xml:space="preserve">R0133</t>
  </si>
  <si>
    <t xml:space="preserve">R0134</t>
  </si>
  <si>
    <t xml:space="preserve">R0135</t>
  </si>
  <si>
    <t xml:space="preserve">R0136</t>
  </si>
  <si>
    <t xml:space="preserve">R0137</t>
  </si>
  <si>
    <t xml:space="preserve">R0138</t>
  </si>
  <si>
    <t xml:space="preserve">R0139</t>
  </si>
  <si>
    <t xml:space="preserve">R0140</t>
  </si>
  <si>
    <t xml:space="preserve">R0141</t>
  </si>
  <si>
    <t xml:space="preserve">R0142</t>
  </si>
  <si>
    <t xml:space="preserve">R0143</t>
  </si>
  <si>
    <t xml:space="preserve">R0144</t>
  </si>
  <si>
    <t xml:space="preserve">R0145</t>
  </si>
  <si>
    <t xml:space="preserve">R0146</t>
  </si>
  <si>
    <t xml:space="preserve">R0147</t>
  </si>
  <si>
    <t xml:space="preserve">R0148</t>
  </si>
  <si>
    <t xml:space="preserve">R0149</t>
  </si>
  <si>
    <t xml:space="preserve">R0150</t>
  </si>
  <si>
    <t xml:space="preserve">R0151</t>
  </si>
  <si>
    <t xml:space="preserve">R0152</t>
  </si>
  <si>
    <t xml:space="preserve">R0153</t>
  </si>
  <si>
    <t xml:space="preserve">R0154</t>
  </si>
  <si>
    <t xml:space="preserve">R0155</t>
  </si>
  <si>
    <t xml:space="preserve">R0156</t>
  </si>
  <si>
    <t xml:space="preserve">R0157</t>
  </si>
  <si>
    <t xml:space="preserve">R0158</t>
  </si>
  <si>
    <t xml:space="preserve">R0159</t>
  </si>
  <si>
    <t xml:space="preserve">R0160</t>
  </si>
  <si>
    <t xml:space="preserve">R0161</t>
  </si>
  <si>
    <t xml:space="preserve">R0162</t>
  </si>
  <si>
    <t xml:space="preserve">R0163</t>
  </si>
  <si>
    <t xml:space="preserve">R0164</t>
  </si>
  <si>
    <t xml:space="preserve">R0165</t>
  </si>
  <si>
    <t xml:space="preserve">R0166</t>
  </si>
  <si>
    <t xml:space="preserve">R0167</t>
  </si>
  <si>
    <t xml:space="preserve">R0168</t>
  </si>
  <si>
    <t xml:space="preserve">R0169</t>
  </si>
  <si>
    <t xml:space="preserve">May 2024</t>
  </si>
  <si>
    <t xml:space="preserve">R0170</t>
  </si>
  <si>
    <t xml:space="preserve">R0171</t>
  </si>
  <si>
    <t xml:space="preserve">R0172</t>
  </si>
  <si>
    <t xml:space="preserve">R0173</t>
  </si>
  <si>
    <t xml:space="preserve">R0174</t>
  </si>
  <si>
    <t xml:space="preserve">R0175</t>
  </si>
  <si>
    <t xml:space="preserve">R0176</t>
  </si>
  <si>
    <t xml:space="preserve">R0177</t>
  </si>
  <si>
    <t xml:space="preserve">R0178</t>
  </si>
  <si>
    <t xml:space="preserve">R0179</t>
  </si>
  <si>
    <t xml:space="preserve">R0180</t>
  </si>
  <si>
    <t xml:space="preserve">R0181</t>
  </si>
  <si>
    <t xml:space="preserve">R0182</t>
  </si>
  <si>
    <t xml:space="preserve">R0183</t>
  </si>
  <si>
    <t xml:space="preserve">R0184</t>
  </si>
  <si>
    <t xml:space="preserve">R0185</t>
  </si>
  <si>
    <t xml:space="preserve">R0186</t>
  </si>
  <si>
    <t xml:space="preserve">R0187</t>
  </si>
  <si>
    <t xml:space="preserve">R0188</t>
  </si>
  <si>
    <t xml:space="preserve">R0189</t>
  </si>
  <si>
    <t xml:space="preserve">R0190</t>
  </si>
  <si>
    <t xml:space="preserve">R0191</t>
  </si>
  <si>
    <t xml:space="preserve">R0192</t>
  </si>
  <si>
    <t xml:space="preserve">R0193</t>
  </si>
  <si>
    <t xml:space="preserve">R0194</t>
  </si>
  <si>
    <t xml:space="preserve">R0195</t>
  </si>
  <si>
    <t xml:space="preserve">R0196</t>
  </si>
  <si>
    <t xml:space="preserve">R0197</t>
  </si>
  <si>
    <t xml:space="preserve">R0198</t>
  </si>
  <si>
    <t xml:space="preserve">R0199</t>
  </si>
  <si>
    <t xml:space="preserve">R0200</t>
  </si>
  <si>
    <t xml:space="preserve">R0201</t>
  </si>
  <si>
    <t xml:space="preserve">R0202</t>
  </si>
  <si>
    <t xml:space="preserve">R0203</t>
  </si>
  <si>
    <t xml:space="preserve">R0204</t>
  </si>
  <si>
    <t xml:space="preserve">R0205</t>
  </si>
  <si>
    <t xml:space="preserve">R0206</t>
  </si>
  <si>
    <t xml:space="preserve">R0207</t>
  </si>
  <si>
    <t xml:space="preserve">R0208</t>
  </si>
  <si>
    <t xml:space="preserve">R0209</t>
  </si>
  <si>
    <t xml:space="preserve">R0210</t>
  </si>
  <si>
    <t xml:space="preserve">R0211</t>
  </si>
  <si>
    <t xml:space="preserve">Jun 2024</t>
  </si>
  <si>
    <t xml:space="preserve">R0212</t>
  </si>
  <si>
    <t xml:space="preserve">R0213</t>
  </si>
  <si>
    <t xml:space="preserve">R0214</t>
  </si>
  <si>
    <t xml:space="preserve">R0215</t>
  </si>
  <si>
    <t xml:space="preserve">R0216</t>
  </si>
  <si>
    <t xml:space="preserve">R0217</t>
  </si>
  <si>
    <t xml:space="preserve">R0218</t>
  </si>
  <si>
    <t xml:space="preserve">R0219</t>
  </si>
  <si>
    <t xml:space="preserve">R0220</t>
  </si>
  <si>
    <t xml:space="preserve">R0221</t>
  </si>
  <si>
    <t xml:space="preserve">R0222</t>
  </si>
  <si>
    <t xml:space="preserve">R0223</t>
  </si>
  <si>
    <t xml:space="preserve">R0224</t>
  </si>
  <si>
    <t xml:space="preserve">R0225</t>
  </si>
  <si>
    <t xml:space="preserve">R0226</t>
  </si>
  <si>
    <t xml:space="preserve">R0227</t>
  </si>
  <si>
    <t xml:space="preserve">R0228</t>
  </si>
  <si>
    <t xml:space="preserve">R0229</t>
  </si>
  <si>
    <t xml:space="preserve">R0230</t>
  </si>
  <si>
    <t xml:space="preserve">R0231</t>
  </si>
  <si>
    <t xml:space="preserve">R0232</t>
  </si>
  <si>
    <t xml:space="preserve">R0233</t>
  </si>
  <si>
    <t xml:space="preserve">R0234</t>
  </si>
  <si>
    <t xml:space="preserve">R0235</t>
  </si>
  <si>
    <t xml:space="preserve">R0236</t>
  </si>
  <si>
    <t xml:space="preserve">R0237</t>
  </si>
  <si>
    <t xml:space="preserve">R0238</t>
  </si>
  <si>
    <t xml:space="preserve">R0239</t>
  </si>
  <si>
    <t xml:space="preserve">R0240</t>
  </si>
  <si>
    <t xml:space="preserve">R0241</t>
  </si>
  <si>
    <t xml:space="preserve">R0242</t>
  </si>
  <si>
    <t xml:space="preserve">R0243</t>
  </si>
  <si>
    <t xml:space="preserve">R0244</t>
  </si>
  <si>
    <t xml:space="preserve">R0245</t>
  </si>
  <si>
    <t xml:space="preserve">R0246</t>
  </si>
  <si>
    <t xml:space="preserve">R0247</t>
  </si>
  <si>
    <t xml:space="preserve">R0248</t>
  </si>
  <si>
    <t xml:space="preserve">R0249</t>
  </si>
  <si>
    <t xml:space="preserve">R0250</t>
  </si>
  <si>
    <t xml:space="preserve">R0251</t>
  </si>
  <si>
    <t xml:space="preserve">R0252</t>
  </si>
  <si>
    <t xml:space="preserve">R0253</t>
  </si>
  <si>
    <t xml:space="preserve">Jul 2024</t>
  </si>
  <si>
    <t xml:space="preserve">R0254</t>
  </si>
  <si>
    <t xml:space="preserve">R0255</t>
  </si>
  <si>
    <t xml:space="preserve">R0256</t>
  </si>
  <si>
    <t xml:space="preserve">R0257</t>
  </si>
  <si>
    <t xml:space="preserve">R0258</t>
  </si>
  <si>
    <t xml:space="preserve">R0259</t>
  </si>
  <si>
    <t xml:space="preserve">R0260</t>
  </si>
  <si>
    <t xml:space="preserve">R0261</t>
  </si>
  <si>
    <t xml:space="preserve">R0262</t>
  </si>
  <si>
    <t xml:space="preserve">R0263</t>
  </si>
  <si>
    <t xml:space="preserve">R0264</t>
  </si>
  <si>
    <t xml:space="preserve">R0265</t>
  </si>
  <si>
    <t xml:space="preserve">R0266</t>
  </si>
  <si>
    <t xml:space="preserve">R0267</t>
  </si>
  <si>
    <t xml:space="preserve">R0268</t>
  </si>
  <si>
    <t xml:space="preserve">R0269</t>
  </si>
  <si>
    <t xml:space="preserve">R0270</t>
  </si>
  <si>
    <t xml:space="preserve">R0271</t>
  </si>
  <si>
    <t xml:space="preserve">R0272</t>
  </si>
  <si>
    <t xml:space="preserve">R0273</t>
  </si>
  <si>
    <t xml:space="preserve">R0274</t>
  </si>
  <si>
    <t xml:space="preserve">R0275</t>
  </si>
  <si>
    <t xml:space="preserve">R0276</t>
  </si>
  <si>
    <t xml:space="preserve">R0277</t>
  </si>
  <si>
    <t xml:space="preserve">R0278</t>
  </si>
  <si>
    <t xml:space="preserve">R0279</t>
  </si>
  <si>
    <t xml:space="preserve">R0280</t>
  </si>
  <si>
    <t xml:space="preserve">R0281</t>
  </si>
  <si>
    <t xml:space="preserve">R0282</t>
  </si>
  <si>
    <t xml:space="preserve">R0283</t>
  </si>
  <si>
    <t xml:space="preserve">R0284</t>
  </si>
  <si>
    <t xml:space="preserve">R0285</t>
  </si>
  <si>
    <t xml:space="preserve">R0286</t>
  </si>
  <si>
    <t xml:space="preserve">R0287</t>
  </si>
  <si>
    <t xml:space="preserve">R0288</t>
  </si>
  <si>
    <t xml:space="preserve">R0289</t>
  </si>
  <si>
    <t xml:space="preserve">R0290</t>
  </si>
  <si>
    <t xml:space="preserve">R0291</t>
  </si>
  <si>
    <t xml:space="preserve">R0292</t>
  </si>
  <si>
    <t xml:space="preserve">R0293</t>
  </si>
  <si>
    <t xml:space="preserve">R0294</t>
  </si>
  <si>
    <t xml:space="preserve">R0295</t>
  </si>
  <si>
    <t xml:space="preserve">Aug 2024</t>
  </si>
  <si>
    <t xml:space="preserve">R0296</t>
  </si>
  <si>
    <t xml:space="preserve">R0297</t>
  </si>
  <si>
    <t xml:space="preserve">R0298</t>
  </si>
  <si>
    <t xml:space="preserve">R0299</t>
  </si>
  <si>
    <t xml:space="preserve">R0300</t>
  </si>
  <si>
    <t xml:space="preserve">R0301</t>
  </si>
  <si>
    <t xml:space="preserve">R0302</t>
  </si>
  <si>
    <t xml:space="preserve">R0303</t>
  </si>
  <si>
    <t xml:space="preserve">R0304</t>
  </si>
  <si>
    <t xml:space="preserve">R0305</t>
  </si>
  <si>
    <t xml:space="preserve">R0306</t>
  </si>
  <si>
    <t xml:space="preserve">R0307</t>
  </si>
  <si>
    <t xml:space="preserve">R0308</t>
  </si>
  <si>
    <t xml:space="preserve">R0309</t>
  </si>
  <si>
    <t xml:space="preserve">R0310</t>
  </si>
  <si>
    <t xml:space="preserve">R0311</t>
  </si>
  <si>
    <t xml:space="preserve">R0312</t>
  </si>
  <si>
    <t xml:space="preserve">R0313</t>
  </si>
  <si>
    <t xml:space="preserve">R0314</t>
  </si>
  <si>
    <t xml:space="preserve">R0315</t>
  </si>
  <si>
    <t xml:space="preserve">R0316</t>
  </si>
  <si>
    <t xml:space="preserve">R0317</t>
  </si>
  <si>
    <t xml:space="preserve">R0318</t>
  </si>
  <si>
    <t xml:space="preserve">R0319</t>
  </si>
  <si>
    <t xml:space="preserve">R0320</t>
  </si>
  <si>
    <t xml:space="preserve">R0321</t>
  </si>
  <si>
    <t xml:space="preserve">R0322</t>
  </si>
  <si>
    <t xml:space="preserve">R0323</t>
  </si>
  <si>
    <t xml:space="preserve">R0324</t>
  </si>
  <si>
    <t xml:space="preserve">R0325</t>
  </si>
  <si>
    <t xml:space="preserve">R0326</t>
  </si>
  <si>
    <t xml:space="preserve">R0327</t>
  </si>
  <si>
    <t xml:space="preserve">R0328</t>
  </si>
  <si>
    <t xml:space="preserve">R0329</t>
  </si>
  <si>
    <t xml:space="preserve">R0330</t>
  </si>
  <si>
    <t xml:space="preserve">R0331</t>
  </si>
  <si>
    <t xml:space="preserve">R0332</t>
  </si>
  <si>
    <t xml:space="preserve">R0333</t>
  </si>
  <si>
    <t xml:space="preserve">R0334</t>
  </si>
  <si>
    <t xml:space="preserve">R0335</t>
  </si>
  <si>
    <t xml:space="preserve">R0336</t>
  </si>
  <si>
    <t xml:space="preserve">R0337</t>
  </si>
  <si>
    <t xml:space="preserve">Sep 2024</t>
  </si>
  <si>
    <t xml:space="preserve">R0338</t>
  </si>
  <si>
    <t xml:space="preserve">R0339</t>
  </si>
  <si>
    <t xml:space="preserve">R0340</t>
  </si>
  <si>
    <t xml:space="preserve">R0341</t>
  </si>
  <si>
    <t xml:space="preserve">R0342</t>
  </si>
  <si>
    <t xml:space="preserve">R0343</t>
  </si>
  <si>
    <t xml:space="preserve">R0344</t>
  </si>
  <si>
    <t xml:space="preserve">R0345</t>
  </si>
  <si>
    <t xml:space="preserve">R0346</t>
  </si>
  <si>
    <t xml:space="preserve">R0347</t>
  </si>
  <si>
    <t xml:space="preserve">R0348</t>
  </si>
  <si>
    <t xml:space="preserve">R0349</t>
  </si>
  <si>
    <t xml:space="preserve">R0350</t>
  </si>
  <si>
    <t xml:space="preserve">R0351</t>
  </si>
  <si>
    <t xml:space="preserve">R0352</t>
  </si>
  <si>
    <t xml:space="preserve">R0353</t>
  </si>
  <si>
    <t xml:space="preserve">R0354</t>
  </si>
  <si>
    <t xml:space="preserve">R0355</t>
  </si>
  <si>
    <t xml:space="preserve">R0356</t>
  </si>
  <si>
    <t xml:space="preserve">R0357</t>
  </si>
  <si>
    <t xml:space="preserve">R0358</t>
  </si>
  <si>
    <t xml:space="preserve">R0359</t>
  </si>
  <si>
    <t xml:space="preserve">R0360</t>
  </si>
  <si>
    <t xml:space="preserve">R0361</t>
  </si>
  <si>
    <t xml:space="preserve">R0362</t>
  </si>
  <si>
    <t xml:space="preserve">R0363</t>
  </si>
  <si>
    <t xml:space="preserve">R0364</t>
  </si>
  <si>
    <t xml:space="preserve">R0365</t>
  </si>
  <si>
    <t xml:space="preserve">R0366</t>
  </si>
  <si>
    <t xml:space="preserve">R0367</t>
  </si>
  <si>
    <t xml:space="preserve">R0368</t>
  </si>
  <si>
    <t xml:space="preserve">R0369</t>
  </si>
  <si>
    <t xml:space="preserve">R0370</t>
  </si>
  <si>
    <t xml:space="preserve">R0371</t>
  </si>
  <si>
    <t xml:space="preserve">R0372</t>
  </si>
  <si>
    <t xml:space="preserve">R0373</t>
  </si>
  <si>
    <t xml:space="preserve">R0374</t>
  </si>
  <si>
    <t xml:space="preserve">R0375</t>
  </si>
  <si>
    <t xml:space="preserve">R0376</t>
  </si>
  <si>
    <t xml:space="preserve">R0377</t>
  </si>
  <si>
    <t xml:space="preserve">R0378</t>
  </si>
  <si>
    <t xml:space="preserve">R0379</t>
  </si>
  <si>
    <t xml:space="preserve">Oct 2024</t>
  </si>
  <si>
    <t xml:space="preserve">R0380</t>
  </si>
  <si>
    <t xml:space="preserve">R0381</t>
  </si>
  <si>
    <t xml:space="preserve">R0382</t>
  </si>
  <si>
    <t xml:space="preserve">R0383</t>
  </si>
  <si>
    <t xml:space="preserve">R0384</t>
  </si>
  <si>
    <t xml:space="preserve">R0385</t>
  </si>
  <si>
    <t xml:space="preserve">R0386</t>
  </si>
  <si>
    <t xml:space="preserve">R0387</t>
  </si>
  <si>
    <t xml:space="preserve">R0388</t>
  </si>
  <si>
    <t xml:space="preserve">R0389</t>
  </si>
  <si>
    <t xml:space="preserve">R0390</t>
  </si>
  <si>
    <t xml:space="preserve">R0391</t>
  </si>
  <si>
    <t xml:space="preserve">R0392</t>
  </si>
  <si>
    <t xml:space="preserve">R0393</t>
  </si>
  <si>
    <t xml:space="preserve">R0394</t>
  </si>
  <si>
    <t xml:space="preserve">R0395</t>
  </si>
  <si>
    <t xml:space="preserve">R0396</t>
  </si>
  <si>
    <t xml:space="preserve">R0397</t>
  </si>
  <si>
    <t xml:space="preserve">R0398</t>
  </si>
  <si>
    <t xml:space="preserve">R0399</t>
  </si>
  <si>
    <t xml:space="preserve">R0400</t>
  </si>
  <si>
    <t xml:space="preserve">R0401</t>
  </si>
  <si>
    <t xml:space="preserve">R0402</t>
  </si>
  <si>
    <t xml:space="preserve">R0403</t>
  </si>
  <si>
    <t xml:space="preserve">R0404</t>
  </si>
  <si>
    <t xml:space="preserve">R0405</t>
  </si>
  <si>
    <t xml:space="preserve">R0406</t>
  </si>
  <si>
    <t xml:space="preserve">R0407</t>
  </si>
  <si>
    <t xml:space="preserve">R0408</t>
  </si>
  <si>
    <t xml:space="preserve">R0409</t>
  </si>
  <si>
    <t xml:space="preserve">R0410</t>
  </si>
  <si>
    <t xml:space="preserve">R0411</t>
  </si>
  <si>
    <t xml:space="preserve">R0412</t>
  </si>
  <si>
    <t xml:space="preserve">R0413</t>
  </si>
  <si>
    <t xml:space="preserve">R0414</t>
  </si>
  <si>
    <t xml:space="preserve">R0415</t>
  </si>
  <si>
    <t xml:space="preserve">R0416</t>
  </si>
  <si>
    <t xml:space="preserve">R0417</t>
  </si>
  <si>
    <t xml:space="preserve">R0418</t>
  </si>
  <si>
    <t xml:space="preserve">R0419</t>
  </si>
  <si>
    <t xml:space="preserve">R0420</t>
  </si>
  <si>
    <t xml:space="preserve">R0421</t>
  </si>
  <si>
    <t xml:space="preserve">Nov 2024</t>
  </si>
  <si>
    <t xml:space="preserve">R0422</t>
  </si>
  <si>
    <t xml:space="preserve">R0423</t>
  </si>
  <si>
    <t xml:space="preserve">R0424</t>
  </si>
  <si>
    <t xml:space="preserve">R0425</t>
  </si>
  <si>
    <t xml:space="preserve">R0426</t>
  </si>
  <si>
    <t xml:space="preserve">R0427</t>
  </si>
  <si>
    <t xml:space="preserve">R0428</t>
  </si>
  <si>
    <t xml:space="preserve">R0429</t>
  </si>
  <si>
    <t xml:space="preserve">R0430</t>
  </si>
  <si>
    <t xml:space="preserve">R0431</t>
  </si>
  <si>
    <t xml:space="preserve">R0432</t>
  </si>
  <si>
    <t xml:space="preserve">R0433</t>
  </si>
  <si>
    <t xml:space="preserve">R0434</t>
  </si>
  <si>
    <t xml:space="preserve">R0435</t>
  </si>
  <si>
    <t xml:space="preserve">R0436</t>
  </si>
  <si>
    <t xml:space="preserve">R0437</t>
  </si>
  <si>
    <t xml:space="preserve">R0438</t>
  </si>
  <si>
    <t xml:space="preserve">R0439</t>
  </si>
  <si>
    <t xml:space="preserve">R0440</t>
  </si>
  <si>
    <t xml:space="preserve">R0441</t>
  </si>
  <si>
    <t xml:space="preserve">R0442</t>
  </si>
  <si>
    <t xml:space="preserve">R0443</t>
  </si>
  <si>
    <t xml:space="preserve">R0444</t>
  </si>
  <si>
    <t xml:space="preserve">R0445</t>
  </si>
  <si>
    <t xml:space="preserve">R0446</t>
  </si>
  <si>
    <t xml:space="preserve">R0447</t>
  </si>
  <si>
    <t xml:space="preserve">R0448</t>
  </si>
  <si>
    <t xml:space="preserve">R0449</t>
  </si>
  <si>
    <t xml:space="preserve">R0450</t>
  </si>
  <si>
    <t xml:space="preserve">R0451</t>
  </si>
  <si>
    <t xml:space="preserve">R0452</t>
  </si>
  <si>
    <t xml:space="preserve">R0453</t>
  </si>
  <si>
    <t xml:space="preserve">R0454</t>
  </si>
  <si>
    <t xml:space="preserve">R0455</t>
  </si>
  <si>
    <t xml:space="preserve">R0456</t>
  </si>
  <si>
    <t xml:space="preserve">R0457</t>
  </si>
  <si>
    <t xml:space="preserve">R0458</t>
  </si>
  <si>
    <t xml:space="preserve">R0459</t>
  </si>
  <si>
    <t xml:space="preserve">R0460</t>
  </si>
  <si>
    <t xml:space="preserve">R0461</t>
  </si>
  <si>
    <t xml:space="preserve">R0462</t>
  </si>
  <si>
    <t xml:space="preserve">R0463</t>
  </si>
  <si>
    <t xml:space="preserve">Dec 2024</t>
  </si>
  <si>
    <t xml:space="preserve">R0464</t>
  </si>
  <si>
    <t xml:space="preserve">R0465</t>
  </si>
  <si>
    <t xml:space="preserve">R0466</t>
  </si>
  <si>
    <t xml:space="preserve">R0467</t>
  </si>
  <si>
    <t xml:space="preserve">R0468</t>
  </si>
  <si>
    <t xml:space="preserve">R0469</t>
  </si>
  <si>
    <t xml:space="preserve">R0470</t>
  </si>
  <si>
    <t xml:space="preserve">R0471</t>
  </si>
  <si>
    <t xml:space="preserve">R0472</t>
  </si>
  <si>
    <t xml:space="preserve">R0473</t>
  </si>
  <si>
    <t xml:space="preserve">R0474</t>
  </si>
  <si>
    <t xml:space="preserve">R0475</t>
  </si>
  <si>
    <t xml:space="preserve">R0476</t>
  </si>
  <si>
    <t xml:space="preserve">R0477</t>
  </si>
  <si>
    <t xml:space="preserve">R0478</t>
  </si>
  <si>
    <t xml:space="preserve">R0479</t>
  </si>
  <si>
    <t xml:space="preserve">R0480</t>
  </si>
  <si>
    <t xml:space="preserve">R0481</t>
  </si>
  <si>
    <t xml:space="preserve">R0482</t>
  </si>
  <si>
    <t xml:space="preserve">R0483</t>
  </si>
  <si>
    <t xml:space="preserve">R0484</t>
  </si>
  <si>
    <t xml:space="preserve">R0485</t>
  </si>
  <si>
    <t xml:space="preserve">R0486</t>
  </si>
  <si>
    <t xml:space="preserve">R0487</t>
  </si>
  <si>
    <t xml:space="preserve">R0488</t>
  </si>
  <si>
    <t xml:space="preserve">R0489</t>
  </si>
  <si>
    <t xml:space="preserve">R0490</t>
  </si>
  <si>
    <t xml:space="preserve">R0491</t>
  </si>
  <si>
    <t xml:space="preserve">R0492</t>
  </si>
  <si>
    <t xml:space="preserve">R0493</t>
  </si>
  <si>
    <t xml:space="preserve">R0494</t>
  </si>
  <si>
    <t xml:space="preserve">R0495</t>
  </si>
  <si>
    <t xml:space="preserve">R0496</t>
  </si>
  <si>
    <t xml:space="preserve">R0497</t>
  </si>
  <si>
    <t xml:space="preserve">R0498</t>
  </si>
  <si>
    <t xml:space="preserve">R0499</t>
  </si>
  <si>
    <t xml:space="preserve">R0500</t>
  </si>
  <si>
    <t xml:space="preserve">R0501</t>
  </si>
  <si>
    <t xml:space="preserve">R0502</t>
  </si>
  <si>
    <t xml:space="preserve">R0503</t>
  </si>
  <si>
    <t xml:space="preserve">R0504</t>
  </si>
  <si>
    <t xml:space="preserve">FUNNEL STAGE SUMMARY — All Channels Combined</t>
  </si>
  <si>
    <t xml:space="preserve">Funnel Stage</t>
  </si>
  <si>
    <t xml:space="preserve">Total Users</t>
  </si>
  <si>
    <t xml:space="preserve">Avg Conversion Rate</t>
  </si>
  <si>
    <t xml:space="preserve">Total Revenue (INR)</t>
  </si>
  <si>
    <t xml:space="preserve">Avg Revenue per User (INR)</t>
  </si>
  <si>
    <t xml:space="preserve">Avg Drop-Off Rate</t>
  </si>
  <si>
    <t xml:space="preserve">CHANNEL PERFORMANCE SUMMARY</t>
  </si>
  <si>
    <t xml:space="preserve">Total Website Visits</t>
  </si>
  <si>
    <t xml:space="preserve">Total Purchases</t>
  </si>
  <si>
    <t xml:space="preserve">Overall Conversion Rate</t>
  </si>
  <si>
    <t xml:space="preserve">Avg Order Value (INR)</t>
  </si>
  <si>
    <t xml:space="preserve">TOTAL</t>
  </si>
  <si>
    <t xml:space="preserve">CUSTOMER JOURNEY KPI DASHBOARD</t>
  </si>
  <si>
    <t xml:space="preserve">KPI Metric</t>
  </si>
  <si>
    <t xml:space="preserve">Value</t>
  </si>
  <si>
    <t xml:space="preserve">Formula Reference</t>
  </si>
  <si>
    <t xml:space="preserve">Business Insight</t>
  </si>
  <si>
    <t xml:space="preserve">Total Unique Visitors</t>
  </si>
  <si>
    <t xml:space="preserve">Total top-of-funnel traffic</t>
  </si>
  <si>
    <t xml:space="preserve">Total Signups</t>
  </si>
  <si>
    <t xml:space="preserve">Users who signed up</t>
  </si>
  <si>
    <t xml:space="preserve">Converted customers</t>
  </si>
  <si>
    <t xml:space="preserve">Overall Conv. Rate (Visit→Purchase)</t>
  </si>
  <si>
    <t xml:space="preserve">End-to-end conversion %</t>
  </si>
  <si>
    <t xml:space="preserve">Total funnel revenue</t>
  </si>
  <si>
    <t xml:space="preserve">Revenue per purchase</t>
  </si>
  <si>
    <t xml:space="preserve">Avg Signup Conv. Rate</t>
  </si>
  <si>
    <t xml:space="preserve">Visit to Signup rate</t>
  </si>
  <si>
    <t xml:space="preserve">Avg Purchase Conv. Rate</t>
  </si>
  <si>
    <t xml:space="preserve">Checkout to Purchase rate</t>
  </si>
  <si>
    <t xml:space="preserve">Best Performing Channel</t>
  </si>
  <si>
    <t xml:space="preserve">Channel generating most revenue</t>
  </si>
  <si>
    <t xml:space="preserve">Total Active Months</t>
  </si>
  <si>
    <t xml:space="preserve">Months of data covered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</si>
</sst>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%"/>
    <numFmt numFmtId="167" formatCode="\₹#,##0"/>
    <numFmt numFmtId="168" formatCode="##,#00"/>
    <numFmt numFmtId="169" formatCode="@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243F60"/>
      </patternFill>
    </fill>
    <fill>
      <patternFill patternType="solid">
        <fgColor rgb="FF243F60"/>
        <bgColor rgb="FF1F3864"/>
      </patternFill>
    </fill>
    <fill>
      <patternFill patternType="solid">
        <fgColor rgb="FFD0E7FF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0E7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243F6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8" min="6" style="1" width="16"/>
    <col collapsed="false" customWidth="true" hidden="false" outlineLevel="0" max="9" min="9" style="1" width="20"/>
    <col collapsed="false" customWidth="true" hidden="false" outlineLevel="0" max="10" min="10" style="1" width="14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1.7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customFormat="false" ht="15" hidden="false" customHeight="true" outlineLevel="0" collapsed="false">
      <c r="A3" s="4" t="s">
        <v>11</v>
      </c>
      <c r="B3" s="5" t="s">
        <v>12</v>
      </c>
      <c r="C3" s="5" t="s">
        <v>13</v>
      </c>
      <c r="D3" s="5" t="s">
        <v>14</v>
      </c>
      <c r="E3" s="6" t="n">
        <v>9618</v>
      </c>
      <c r="F3" s="6"/>
      <c r="G3" s="7"/>
      <c r="H3" s="8"/>
      <c r="I3" s="8"/>
      <c r="J3" s="7"/>
    </row>
    <row r="4" customFormat="false" ht="15" hidden="false" customHeight="true" outlineLevel="0" collapsed="false">
      <c r="A4" s="4" t="s">
        <v>15</v>
      </c>
      <c r="B4" s="5" t="s">
        <v>12</v>
      </c>
      <c r="C4" s="5" t="s">
        <v>13</v>
      </c>
      <c r="D4" s="5" t="s">
        <v>16</v>
      </c>
      <c r="E4" s="6" t="n">
        <v>5447</v>
      </c>
      <c r="F4" s="6" t="n">
        <v>9618</v>
      </c>
      <c r="G4" s="7" t="n">
        <v>0.566333957163652</v>
      </c>
      <c r="H4" s="8"/>
      <c r="I4" s="8"/>
      <c r="J4" s="7" t="n">
        <v>0.433666042836349</v>
      </c>
    </row>
    <row r="5" customFormat="false" ht="15" hidden="false" customHeight="true" outlineLevel="0" collapsed="false">
      <c r="A5" s="4" t="s">
        <v>17</v>
      </c>
      <c r="B5" s="5" t="s">
        <v>12</v>
      </c>
      <c r="C5" s="5" t="s">
        <v>13</v>
      </c>
      <c r="D5" s="5" t="s">
        <v>18</v>
      </c>
      <c r="E5" s="6" t="n">
        <v>1501</v>
      </c>
      <c r="F5" s="6" t="n">
        <v>5447</v>
      </c>
      <c r="G5" s="7" t="n">
        <v>0.275564530934459</v>
      </c>
      <c r="H5" s="8"/>
      <c r="I5" s="8"/>
      <c r="J5" s="7" t="n">
        <v>0.724435469065541</v>
      </c>
    </row>
    <row r="6" customFormat="false" ht="15" hidden="false" customHeight="true" outlineLevel="0" collapsed="false">
      <c r="A6" s="4" t="s">
        <v>19</v>
      </c>
      <c r="B6" s="5" t="s">
        <v>12</v>
      </c>
      <c r="C6" s="5" t="s">
        <v>13</v>
      </c>
      <c r="D6" s="5" t="s">
        <v>20</v>
      </c>
      <c r="E6" s="6" t="n">
        <v>868</v>
      </c>
      <c r="F6" s="6" t="n">
        <v>1501</v>
      </c>
      <c r="G6" s="7" t="n">
        <v>0.578281145902732</v>
      </c>
      <c r="H6" s="8"/>
      <c r="I6" s="8"/>
      <c r="J6" s="7" t="n">
        <v>0.421718854097269</v>
      </c>
    </row>
    <row r="7" customFormat="false" ht="15" hidden="false" customHeight="true" outlineLevel="0" collapsed="false">
      <c r="A7" s="4" t="s">
        <v>21</v>
      </c>
      <c r="B7" s="5" t="s">
        <v>12</v>
      </c>
      <c r="C7" s="5" t="s">
        <v>13</v>
      </c>
      <c r="D7" s="5" t="s">
        <v>22</v>
      </c>
      <c r="E7" s="6" t="n">
        <v>342</v>
      </c>
      <c r="F7" s="6" t="n">
        <v>868</v>
      </c>
      <c r="G7" s="7" t="n">
        <v>0.394009216589862</v>
      </c>
      <c r="H7" s="8"/>
      <c r="I7" s="8"/>
      <c r="J7" s="7" t="n">
        <v>0.605990783410138</v>
      </c>
    </row>
    <row r="8" customFormat="false" ht="15" hidden="false" customHeight="true" outlineLevel="0" collapsed="false">
      <c r="A8" s="4" t="s">
        <v>23</v>
      </c>
      <c r="B8" s="5" t="s">
        <v>12</v>
      </c>
      <c r="C8" s="5" t="s">
        <v>13</v>
      </c>
      <c r="D8" s="5" t="s">
        <v>24</v>
      </c>
      <c r="E8" s="6" t="n">
        <v>219</v>
      </c>
      <c r="F8" s="6" t="n">
        <v>342</v>
      </c>
      <c r="G8" s="7" t="n">
        <v>0.640350877192982</v>
      </c>
      <c r="H8" s="8"/>
      <c r="I8" s="8"/>
      <c r="J8" s="7" t="n">
        <v>0.359649122807018</v>
      </c>
    </row>
    <row r="9" customFormat="false" ht="15" hidden="false" customHeight="true" outlineLevel="0" collapsed="false">
      <c r="A9" s="4" t="s">
        <v>25</v>
      </c>
      <c r="B9" s="5" t="s">
        <v>12</v>
      </c>
      <c r="C9" s="5" t="s">
        <v>13</v>
      </c>
      <c r="D9" s="5" t="s">
        <v>26</v>
      </c>
      <c r="E9" s="6" t="n">
        <v>154</v>
      </c>
      <c r="F9" s="6" t="n">
        <v>219</v>
      </c>
      <c r="G9" s="7" t="n">
        <v>0.703196347031963</v>
      </c>
      <c r="H9" s="8" t="n">
        <v>565026</v>
      </c>
      <c r="I9" s="8" t="n">
        <v>3669</v>
      </c>
      <c r="J9" s="7" t="n">
        <v>0.296803652968037</v>
      </c>
    </row>
    <row r="10" customFormat="false" ht="15" hidden="false" customHeight="true" outlineLevel="0" collapsed="false">
      <c r="A10" s="4" t="s">
        <v>27</v>
      </c>
      <c r="B10" s="5" t="s">
        <v>12</v>
      </c>
      <c r="C10" s="5" t="s">
        <v>28</v>
      </c>
      <c r="D10" s="5" t="s">
        <v>14</v>
      </c>
      <c r="E10" s="6" t="n">
        <v>11824</v>
      </c>
      <c r="F10" s="6"/>
      <c r="G10" s="7"/>
      <c r="H10" s="8"/>
      <c r="I10" s="8"/>
      <c r="J10" s="7"/>
    </row>
    <row r="11" customFormat="false" ht="15" hidden="false" customHeight="true" outlineLevel="0" collapsed="false">
      <c r="A11" s="4" t="s">
        <v>29</v>
      </c>
      <c r="B11" s="5" t="s">
        <v>12</v>
      </c>
      <c r="C11" s="5" t="s">
        <v>28</v>
      </c>
      <c r="D11" s="5" t="s">
        <v>16</v>
      </c>
      <c r="E11" s="6" t="n">
        <v>6744</v>
      </c>
      <c r="F11" s="6" t="n">
        <v>11824</v>
      </c>
      <c r="G11" s="7" t="n">
        <v>0.570365358592693</v>
      </c>
      <c r="H11" s="8"/>
      <c r="I11" s="8"/>
      <c r="J11" s="7" t="n">
        <v>0.429634641407307</v>
      </c>
    </row>
    <row r="12" customFormat="false" ht="15" hidden="false" customHeight="true" outlineLevel="0" collapsed="false">
      <c r="A12" s="4" t="s">
        <v>30</v>
      </c>
      <c r="B12" s="5" t="s">
        <v>12</v>
      </c>
      <c r="C12" s="5" t="s">
        <v>28</v>
      </c>
      <c r="D12" s="5" t="s">
        <v>18</v>
      </c>
      <c r="E12" s="6" t="n">
        <v>1840</v>
      </c>
      <c r="F12" s="6" t="n">
        <v>6744</v>
      </c>
      <c r="G12" s="7" t="n">
        <v>0.272835112692764</v>
      </c>
      <c r="H12" s="8"/>
      <c r="I12" s="8"/>
      <c r="J12" s="7" t="n">
        <v>0.727164887307236</v>
      </c>
    </row>
    <row r="13" customFormat="false" ht="15" hidden="false" customHeight="true" outlineLevel="0" collapsed="false">
      <c r="A13" s="4" t="s">
        <v>31</v>
      </c>
      <c r="B13" s="5" t="s">
        <v>12</v>
      </c>
      <c r="C13" s="5" t="s">
        <v>28</v>
      </c>
      <c r="D13" s="5" t="s">
        <v>20</v>
      </c>
      <c r="E13" s="6" t="n">
        <v>1275</v>
      </c>
      <c r="F13" s="6" t="n">
        <v>1840</v>
      </c>
      <c r="G13" s="7" t="n">
        <v>0.692934782608696</v>
      </c>
      <c r="H13" s="8"/>
      <c r="I13" s="8"/>
      <c r="J13" s="7" t="n">
        <v>0.307065217391304</v>
      </c>
    </row>
    <row r="14" customFormat="false" ht="15" hidden="false" customHeight="true" outlineLevel="0" collapsed="false">
      <c r="A14" s="4" t="s">
        <v>32</v>
      </c>
      <c r="B14" s="5" t="s">
        <v>12</v>
      </c>
      <c r="C14" s="5" t="s">
        <v>28</v>
      </c>
      <c r="D14" s="5" t="s">
        <v>22</v>
      </c>
      <c r="E14" s="6" t="n">
        <v>588</v>
      </c>
      <c r="F14" s="6" t="n">
        <v>1275</v>
      </c>
      <c r="G14" s="7" t="n">
        <v>0.461176470588235</v>
      </c>
      <c r="H14" s="8"/>
      <c r="I14" s="8"/>
      <c r="J14" s="7" t="n">
        <v>0.538823529411765</v>
      </c>
    </row>
    <row r="15" customFormat="false" ht="15" hidden="false" customHeight="true" outlineLevel="0" collapsed="false">
      <c r="A15" s="4" t="s">
        <v>33</v>
      </c>
      <c r="B15" s="5" t="s">
        <v>12</v>
      </c>
      <c r="C15" s="5" t="s">
        <v>28</v>
      </c>
      <c r="D15" s="5" t="s">
        <v>24</v>
      </c>
      <c r="E15" s="6" t="n">
        <v>383</v>
      </c>
      <c r="F15" s="6" t="n">
        <v>588</v>
      </c>
      <c r="G15" s="7" t="n">
        <v>0.651360544217687</v>
      </c>
      <c r="H15" s="8"/>
      <c r="I15" s="8"/>
      <c r="J15" s="7" t="n">
        <v>0.348639455782313</v>
      </c>
    </row>
    <row r="16" customFormat="false" ht="15" hidden="false" customHeight="true" outlineLevel="0" collapsed="false">
      <c r="A16" s="4" t="s">
        <v>34</v>
      </c>
      <c r="B16" s="5" t="s">
        <v>12</v>
      </c>
      <c r="C16" s="5" t="s">
        <v>28</v>
      </c>
      <c r="D16" s="5" t="s">
        <v>26</v>
      </c>
      <c r="E16" s="6" t="n">
        <v>291</v>
      </c>
      <c r="F16" s="6" t="n">
        <v>383</v>
      </c>
      <c r="G16" s="7" t="n">
        <v>0.759791122715405</v>
      </c>
      <c r="H16" s="8" t="n">
        <v>1212888</v>
      </c>
      <c r="I16" s="8" t="n">
        <v>4168</v>
      </c>
      <c r="J16" s="7" t="n">
        <v>0.240208877284595</v>
      </c>
    </row>
    <row r="17" customFormat="false" ht="15" hidden="false" customHeight="true" outlineLevel="0" collapsed="false">
      <c r="A17" s="4" t="s">
        <v>35</v>
      </c>
      <c r="B17" s="5" t="s">
        <v>12</v>
      </c>
      <c r="C17" s="5" t="s">
        <v>36</v>
      </c>
      <c r="D17" s="5" t="s">
        <v>14</v>
      </c>
      <c r="E17" s="6" t="n">
        <v>9358</v>
      </c>
      <c r="F17" s="6"/>
      <c r="G17" s="7"/>
      <c r="H17" s="8"/>
      <c r="I17" s="8"/>
      <c r="J17" s="7"/>
    </row>
    <row r="18" customFormat="false" ht="15" hidden="false" customHeight="true" outlineLevel="0" collapsed="false">
      <c r="A18" s="4" t="s">
        <v>37</v>
      </c>
      <c r="B18" s="5" t="s">
        <v>12</v>
      </c>
      <c r="C18" s="5" t="s">
        <v>36</v>
      </c>
      <c r="D18" s="5" t="s">
        <v>16</v>
      </c>
      <c r="E18" s="6" t="n">
        <v>4703</v>
      </c>
      <c r="F18" s="6" t="n">
        <v>9358</v>
      </c>
      <c r="G18" s="7" t="n">
        <v>0.50256465056636</v>
      </c>
      <c r="H18" s="8"/>
      <c r="I18" s="8"/>
      <c r="J18" s="7" t="n">
        <v>0.49743534943364</v>
      </c>
    </row>
    <row r="19" customFormat="false" ht="15" hidden="false" customHeight="true" outlineLevel="0" collapsed="false">
      <c r="A19" s="4" t="s">
        <v>38</v>
      </c>
      <c r="B19" s="5" t="s">
        <v>12</v>
      </c>
      <c r="C19" s="5" t="s">
        <v>36</v>
      </c>
      <c r="D19" s="5" t="s">
        <v>18</v>
      </c>
      <c r="E19" s="6" t="n">
        <v>1394</v>
      </c>
      <c r="F19" s="6" t="n">
        <v>4703</v>
      </c>
      <c r="G19" s="7" t="n">
        <v>0.296406549011269</v>
      </c>
      <c r="H19" s="8"/>
      <c r="I19" s="8"/>
      <c r="J19" s="7" t="n">
        <v>0.703593450988731</v>
      </c>
    </row>
    <row r="20" customFormat="false" ht="15" hidden="false" customHeight="true" outlineLevel="0" collapsed="false">
      <c r="A20" s="4" t="s">
        <v>39</v>
      </c>
      <c r="B20" s="5" t="s">
        <v>12</v>
      </c>
      <c r="C20" s="5" t="s">
        <v>36</v>
      </c>
      <c r="D20" s="5" t="s">
        <v>20</v>
      </c>
      <c r="E20" s="6" t="n">
        <v>818</v>
      </c>
      <c r="F20" s="6" t="n">
        <v>1394</v>
      </c>
      <c r="G20" s="7" t="n">
        <v>0.586800573888092</v>
      </c>
      <c r="H20" s="8"/>
      <c r="I20" s="8"/>
      <c r="J20" s="7" t="n">
        <v>0.413199426111908</v>
      </c>
    </row>
    <row r="21" customFormat="false" ht="15" hidden="false" customHeight="true" outlineLevel="0" collapsed="false">
      <c r="A21" s="4" t="s">
        <v>40</v>
      </c>
      <c r="B21" s="5" t="s">
        <v>12</v>
      </c>
      <c r="C21" s="5" t="s">
        <v>36</v>
      </c>
      <c r="D21" s="5" t="s">
        <v>22</v>
      </c>
      <c r="E21" s="6" t="n">
        <v>375</v>
      </c>
      <c r="F21" s="6" t="n">
        <v>818</v>
      </c>
      <c r="G21" s="7" t="n">
        <v>0.458435207823961</v>
      </c>
      <c r="H21" s="8"/>
      <c r="I21" s="8"/>
      <c r="J21" s="7" t="n">
        <v>0.541564792176039</v>
      </c>
    </row>
    <row r="22" customFormat="false" ht="15" hidden="false" customHeight="true" outlineLevel="0" collapsed="false">
      <c r="A22" s="4" t="s">
        <v>41</v>
      </c>
      <c r="B22" s="5" t="s">
        <v>12</v>
      </c>
      <c r="C22" s="5" t="s">
        <v>36</v>
      </c>
      <c r="D22" s="5" t="s">
        <v>24</v>
      </c>
      <c r="E22" s="6" t="n">
        <v>196</v>
      </c>
      <c r="F22" s="6" t="n">
        <v>375</v>
      </c>
      <c r="G22" s="7" t="n">
        <v>0.522666666666667</v>
      </c>
      <c r="H22" s="8"/>
      <c r="I22" s="8"/>
      <c r="J22" s="7" t="n">
        <v>0.477333333333333</v>
      </c>
    </row>
    <row r="23" customFormat="false" ht="15" hidden="false" customHeight="true" outlineLevel="0" collapsed="false">
      <c r="A23" s="4" t="s">
        <v>42</v>
      </c>
      <c r="B23" s="5" t="s">
        <v>12</v>
      </c>
      <c r="C23" s="5" t="s">
        <v>36</v>
      </c>
      <c r="D23" s="5" t="s">
        <v>26</v>
      </c>
      <c r="E23" s="6" t="n">
        <v>146</v>
      </c>
      <c r="F23" s="6" t="n">
        <v>196</v>
      </c>
      <c r="G23" s="7" t="n">
        <v>0.744897959183674</v>
      </c>
      <c r="H23" s="8" t="n">
        <v>521804</v>
      </c>
      <c r="I23" s="8" t="n">
        <v>3574</v>
      </c>
      <c r="J23" s="7" t="n">
        <v>0.255102040816327</v>
      </c>
    </row>
    <row r="24" customFormat="false" ht="15" hidden="false" customHeight="true" outlineLevel="0" collapsed="false">
      <c r="A24" s="4" t="s">
        <v>43</v>
      </c>
      <c r="B24" s="5" t="s">
        <v>12</v>
      </c>
      <c r="C24" s="5" t="s">
        <v>44</v>
      </c>
      <c r="D24" s="5" t="s">
        <v>14</v>
      </c>
      <c r="E24" s="6" t="n">
        <v>4438</v>
      </c>
      <c r="F24" s="6"/>
      <c r="G24" s="7"/>
      <c r="H24" s="8"/>
      <c r="I24" s="8"/>
      <c r="J24" s="7"/>
    </row>
    <row r="25" customFormat="false" ht="15" hidden="false" customHeight="true" outlineLevel="0" collapsed="false">
      <c r="A25" s="4" t="s">
        <v>45</v>
      </c>
      <c r="B25" s="5" t="s">
        <v>12</v>
      </c>
      <c r="C25" s="5" t="s">
        <v>44</v>
      </c>
      <c r="D25" s="5" t="s">
        <v>16</v>
      </c>
      <c r="E25" s="6" t="n">
        <v>2369</v>
      </c>
      <c r="F25" s="6" t="n">
        <v>4438</v>
      </c>
      <c r="G25" s="7" t="n">
        <v>0.533799008562416</v>
      </c>
      <c r="H25" s="8"/>
      <c r="I25" s="8"/>
      <c r="J25" s="7" t="n">
        <v>0.466200991437585</v>
      </c>
    </row>
    <row r="26" customFormat="false" ht="15" hidden="false" customHeight="true" outlineLevel="0" collapsed="false">
      <c r="A26" s="4" t="s">
        <v>46</v>
      </c>
      <c r="B26" s="5" t="s">
        <v>12</v>
      </c>
      <c r="C26" s="5" t="s">
        <v>44</v>
      </c>
      <c r="D26" s="5" t="s">
        <v>18</v>
      </c>
      <c r="E26" s="6" t="n">
        <v>661</v>
      </c>
      <c r="F26" s="6" t="n">
        <v>2369</v>
      </c>
      <c r="G26" s="7" t="n">
        <v>0.279020683832841</v>
      </c>
      <c r="H26" s="8"/>
      <c r="I26" s="8"/>
      <c r="J26" s="7" t="n">
        <v>0.720979316167159</v>
      </c>
    </row>
    <row r="27" customFormat="false" ht="15" hidden="false" customHeight="true" outlineLevel="0" collapsed="false">
      <c r="A27" s="4" t="s">
        <v>47</v>
      </c>
      <c r="B27" s="5" t="s">
        <v>12</v>
      </c>
      <c r="C27" s="5" t="s">
        <v>44</v>
      </c>
      <c r="D27" s="5" t="s">
        <v>20</v>
      </c>
      <c r="E27" s="6" t="n">
        <v>366</v>
      </c>
      <c r="F27" s="6" t="n">
        <v>661</v>
      </c>
      <c r="G27" s="7" t="n">
        <v>0.553706505295008</v>
      </c>
      <c r="H27" s="8"/>
      <c r="I27" s="8"/>
      <c r="J27" s="7" t="n">
        <v>0.446293494704993</v>
      </c>
    </row>
    <row r="28" customFormat="false" ht="15" hidden="false" customHeight="true" outlineLevel="0" collapsed="false">
      <c r="A28" s="4" t="s">
        <v>48</v>
      </c>
      <c r="B28" s="5" t="s">
        <v>12</v>
      </c>
      <c r="C28" s="5" t="s">
        <v>44</v>
      </c>
      <c r="D28" s="5" t="s">
        <v>22</v>
      </c>
      <c r="E28" s="6" t="n">
        <v>150</v>
      </c>
      <c r="F28" s="6" t="n">
        <v>366</v>
      </c>
      <c r="G28" s="7" t="n">
        <v>0.409836065573771</v>
      </c>
      <c r="H28" s="8"/>
      <c r="I28" s="8"/>
      <c r="J28" s="7" t="n">
        <v>0.59016393442623</v>
      </c>
    </row>
    <row r="29" customFormat="false" ht="15" hidden="false" customHeight="true" outlineLevel="0" collapsed="false">
      <c r="A29" s="4" t="s">
        <v>49</v>
      </c>
      <c r="B29" s="5" t="s">
        <v>12</v>
      </c>
      <c r="C29" s="5" t="s">
        <v>44</v>
      </c>
      <c r="D29" s="5" t="s">
        <v>24</v>
      </c>
      <c r="E29" s="6" t="n">
        <v>103</v>
      </c>
      <c r="F29" s="6" t="n">
        <v>150</v>
      </c>
      <c r="G29" s="7" t="n">
        <v>0.686666666666667</v>
      </c>
      <c r="H29" s="8"/>
      <c r="I29" s="8"/>
      <c r="J29" s="7" t="n">
        <v>0.313333333333333</v>
      </c>
    </row>
    <row r="30" customFormat="false" ht="15" hidden="false" customHeight="true" outlineLevel="0" collapsed="false">
      <c r="A30" s="4" t="s">
        <v>50</v>
      </c>
      <c r="B30" s="5" t="s">
        <v>12</v>
      </c>
      <c r="C30" s="5" t="s">
        <v>44</v>
      </c>
      <c r="D30" s="5" t="s">
        <v>26</v>
      </c>
      <c r="E30" s="6" t="n">
        <v>72</v>
      </c>
      <c r="F30" s="6" t="n">
        <v>103</v>
      </c>
      <c r="G30" s="7" t="n">
        <v>0.699029126213592</v>
      </c>
      <c r="H30" s="8" t="n">
        <v>193824</v>
      </c>
      <c r="I30" s="8" t="n">
        <v>2692</v>
      </c>
      <c r="J30" s="7" t="n">
        <v>0.300970873786408</v>
      </c>
    </row>
    <row r="31" customFormat="false" ht="15" hidden="false" customHeight="true" outlineLevel="0" collapsed="false">
      <c r="A31" s="4" t="s">
        <v>51</v>
      </c>
      <c r="B31" s="5" t="s">
        <v>12</v>
      </c>
      <c r="C31" s="5" t="s">
        <v>52</v>
      </c>
      <c r="D31" s="5" t="s">
        <v>14</v>
      </c>
      <c r="E31" s="6" t="n">
        <v>11497</v>
      </c>
      <c r="F31" s="6"/>
      <c r="G31" s="7"/>
      <c r="H31" s="8"/>
      <c r="I31" s="8"/>
      <c r="J31" s="7"/>
    </row>
    <row r="32" customFormat="false" ht="15" hidden="false" customHeight="true" outlineLevel="0" collapsed="false">
      <c r="A32" s="4" t="s">
        <v>53</v>
      </c>
      <c r="B32" s="5" t="s">
        <v>12</v>
      </c>
      <c r="C32" s="5" t="s">
        <v>52</v>
      </c>
      <c r="D32" s="5" t="s">
        <v>16</v>
      </c>
      <c r="E32" s="6" t="n">
        <v>6523</v>
      </c>
      <c r="F32" s="6" t="n">
        <v>11497</v>
      </c>
      <c r="G32" s="7" t="n">
        <v>0.567365399669479</v>
      </c>
      <c r="H32" s="8"/>
      <c r="I32" s="8"/>
      <c r="J32" s="7" t="n">
        <v>0.432634600330521</v>
      </c>
    </row>
    <row r="33" customFormat="false" ht="15" hidden="false" customHeight="true" outlineLevel="0" collapsed="false">
      <c r="A33" s="4" t="s">
        <v>54</v>
      </c>
      <c r="B33" s="5" t="s">
        <v>12</v>
      </c>
      <c r="C33" s="5" t="s">
        <v>52</v>
      </c>
      <c r="D33" s="5" t="s">
        <v>18</v>
      </c>
      <c r="E33" s="6" t="n">
        <v>2236</v>
      </c>
      <c r="F33" s="6" t="n">
        <v>6523</v>
      </c>
      <c r="G33" s="7" t="n">
        <v>0.342787061168174</v>
      </c>
      <c r="H33" s="8"/>
      <c r="I33" s="8"/>
      <c r="J33" s="7" t="n">
        <v>0.657212938831826</v>
      </c>
    </row>
    <row r="34" customFormat="false" ht="15" hidden="false" customHeight="true" outlineLevel="0" collapsed="false">
      <c r="A34" s="4" t="s">
        <v>55</v>
      </c>
      <c r="B34" s="5" t="s">
        <v>12</v>
      </c>
      <c r="C34" s="5" t="s">
        <v>52</v>
      </c>
      <c r="D34" s="5" t="s">
        <v>20</v>
      </c>
      <c r="E34" s="6" t="n">
        <v>1391</v>
      </c>
      <c r="F34" s="6" t="n">
        <v>2236</v>
      </c>
      <c r="G34" s="7" t="n">
        <v>0.622093023255814</v>
      </c>
      <c r="H34" s="8"/>
      <c r="I34" s="8"/>
      <c r="J34" s="7" t="n">
        <v>0.377906976744186</v>
      </c>
    </row>
    <row r="35" customFormat="false" ht="15" hidden="false" customHeight="true" outlineLevel="0" collapsed="false">
      <c r="A35" s="4" t="s">
        <v>56</v>
      </c>
      <c r="B35" s="5" t="s">
        <v>12</v>
      </c>
      <c r="C35" s="5" t="s">
        <v>52</v>
      </c>
      <c r="D35" s="5" t="s">
        <v>22</v>
      </c>
      <c r="E35" s="6" t="n">
        <v>572</v>
      </c>
      <c r="F35" s="6" t="n">
        <v>1391</v>
      </c>
      <c r="G35" s="7" t="n">
        <v>0.411214953271028</v>
      </c>
      <c r="H35" s="8"/>
      <c r="I35" s="8"/>
      <c r="J35" s="7" t="n">
        <v>0.588785046728972</v>
      </c>
    </row>
    <row r="36" customFormat="false" ht="15" hidden="false" customHeight="true" outlineLevel="0" collapsed="false">
      <c r="A36" s="4" t="s">
        <v>57</v>
      </c>
      <c r="B36" s="5" t="s">
        <v>12</v>
      </c>
      <c r="C36" s="5" t="s">
        <v>52</v>
      </c>
      <c r="D36" s="5" t="s">
        <v>24</v>
      </c>
      <c r="E36" s="6" t="n">
        <v>386</v>
      </c>
      <c r="F36" s="6" t="n">
        <v>572</v>
      </c>
      <c r="G36" s="7" t="n">
        <v>0.674825174825175</v>
      </c>
      <c r="H36" s="8"/>
      <c r="I36" s="8"/>
      <c r="J36" s="7" t="n">
        <v>0.325174825174825</v>
      </c>
    </row>
    <row r="37" customFormat="false" ht="15" hidden="false" customHeight="true" outlineLevel="0" collapsed="false">
      <c r="A37" s="4" t="s">
        <v>58</v>
      </c>
      <c r="B37" s="5" t="s">
        <v>12</v>
      </c>
      <c r="C37" s="5" t="s">
        <v>52</v>
      </c>
      <c r="D37" s="5" t="s">
        <v>26</v>
      </c>
      <c r="E37" s="6" t="n">
        <v>242</v>
      </c>
      <c r="F37" s="6" t="n">
        <v>386</v>
      </c>
      <c r="G37" s="7" t="n">
        <v>0.626943005181347</v>
      </c>
      <c r="H37" s="8" t="n">
        <v>978406</v>
      </c>
      <c r="I37" s="8" t="n">
        <v>4043</v>
      </c>
      <c r="J37" s="7" t="n">
        <v>0.373056994818653</v>
      </c>
    </row>
    <row r="38" customFormat="false" ht="15" hidden="false" customHeight="true" outlineLevel="0" collapsed="false">
      <c r="A38" s="4" t="s">
        <v>59</v>
      </c>
      <c r="B38" s="5" t="s">
        <v>12</v>
      </c>
      <c r="C38" s="5" t="s">
        <v>60</v>
      </c>
      <c r="D38" s="5" t="s">
        <v>14</v>
      </c>
      <c r="E38" s="6" t="n">
        <v>10237</v>
      </c>
      <c r="F38" s="6"/>
      <c r="G38" s="7"/>
      <c r="H38" s="8"/>
      <c r="I38" s="8"/>
      <c r="J38" s="7"/>
    </row>
    <row r="39" customFormat="false" ht="15" hidden="false" customHeight="true" outlineLevel="0" collapsed="false">
      <c r="A39" s="4" t="s">
        <v>61</v>
      </c>
      <c r="B39" s="5" t="s">
        <v>12</v>
      </c>
      <c r="C39" s="5" t="s">
        <v>60</v>
      </c>
      <c r="D39" s="5" t="s">
        <v>16</v>
      </c>
      <c r="E39" s="6" t="n">
        <v>6445</v>
      </c>
      <c r="F39" s="6" t="n">
        <v>10237</v>
      </c>
      <c r="G39" s="7" t="n">
        <v>0.629578978216274</v>
      </c>
      <c r="H39" s="8"/>
      <c r="I39" s="8"/>
      <c r="J39" s="7" t="n">
        <v>0.370421021783726</v>
      </c>
    </row>
    <row r="40" customFormat="false" ht="15" hidden="false" customHeight="true" outlineLevel="0" collapsed="false">
      <c r="A40" s="4" t="s">
        <v>62</v>
      </c>
      <c r="B40" s="5" t="s">
        <v>12</v>
      </c>
      <c r="C40" s="5" t="s">
        <v>60</v>
      </c>
      <c r="D40" s="5" t="s">
        <v>18</v>
      </c>
      <c r="E40" s="6" t="n">
        <v>2190</v>
      </c>
      <c r="F40" s="6" t="n">
        <v>6445</v>
      </c>
      <c r="G40" s="7" t="n">
        <v>0.339798293250582</v>
      </c>
      <c r="H40" s="8"/>
      <c r="I40" s="8"/>
      <c r="J40" s="7" t="n">
        <v>0.660201706749418</v>
      </c>
    </row>
    <row r="41" customFormat="false" ht="15" hidden="false" customHeight="true" outlineLevel="0" collapsed="false">
      <c r="A41" s="4" t="s">
        <v>63</v>
      </c>
      <c r="B41" s="5" t="s">
        <v>12</v>
      </c>
      <c r="C41" s="5" t="s">
        <v>60</v>
      </c>
      <c r="D41" s="5" t="s">
        <v>20</v>
      </c>
      <c r="E41" s="6" t="n">
        <v>1491</v>
      </c>
      <c r="F41" s="6" t="n">
        <v>2190</v>
      </c>
      <c r="G41" s="7" t="n">
        <v>0.680821917808219</v>
      </c>
      <c r="H41" s="8"/>
      <c r="I41" s="8"/>
      <c r="J41" s="7" t="n">
        <v>0.319178082191781</v>
      </c>
    </row>
    <row r="42" customFormat="false" ht="15" hidden="false" customHeight="true" outlineLevel="0" collapsed="false">
      <c r="A42" s="4" t="s">
        <v>64</v>
      </c>
      <c r="B42" s="5" t="s">
        <v>12</v>
      </c>
      <c r="C42" s="5" t="s">
        <v>60</v>
      </c>
      <c r="D42" s="5" t="s">
        <v>22</v>
      </c>
      <c r="E42" s="6" t="n">
        <v>577</v>
      </c>
      <c r="F42" s="6" t="n">
        <v>1491</v>
      </c>
      <c r="G42" s="7" t="n">
        <v>0.386988598256204</v>
      </c>
      <c r="H42" s="8"/>
      <c r="I42" s="8"/>
      <c r="J42" s="7" t="n">
        <v>0.613011401743796</v>
      </c>
    </row>
    <row r="43" customFormat="false" ht="15" hidden="false" customHeight="true" outlineLevel="0" collapsed="false">
      <c r="A43" s="4" t="s">
        <v>65</v>
      </c>
      <c r="B43" s="5" t="s">
        <v>12</v>
      </c>
      <c r="C43" s="5" t="s">
        <v>60</v>
      </c>
      <c r="D43" s="5" t="s">
        <v>24</v>
      </c>
      <c r="E43" s="6" t="n">
        <v>296</v>
      </c>
      <c r="F43" s="6" t="n">
        <v>577</v>
      </c>
      <c r="G43" s="7" t="n">
        <v>0.512998266897747</v>
      </c>
      <c r="H43" s="8"/>
      <c r="I43" s="8"/>
      <c r="J43" s="7" t="n">
        <v>0.487001733102253</v>
      </c>
    </row>
    <row r="44" customFormat="false" ht="15" hidden="false" customHeight="true" outlineLevel="0" collapsed="false">
      <c r="A44" s="4" t="s">
        <v>66</v>
      </c>
      <c r="B44" s="5" t="s">
        <v>12</v>
      </c>
      <c r="C44" s="5" t="s">
        <v>60</v>
      </c>
      <c r="D44" s="5" t="s">
        <v>26</v>
      </c>
      <c r="E44" s="6" t="n">
        <v>205</v>
      </c>
      <c r="F44" s="6" t="n">
        <v>296</v>
      </c>
      <c r="G44" s="7" t="n">
        <v>0.692567567567568</v>
      </c>
      <c r="H44" s="8" t="n">
        <v>852185</v>
      </c>
      <c r="I44" s="8" t="n">
        <v>4157</v>
      </c>
      <c r="J44" s="7" t="n">
        <v>0.307432432432433</v>
      </c>
    </row>
    <row r="45" customFormat="false" ht="15" hidden="false" customHeight="true" outlineLevel="0" collapsed="false">
      <c r="A45" s="4" t="s">
        <v>67</v>
      </c>
      <c r="B45" s="5" t="s">
        <v>68</v>
      </c>
      <c r="C45" s="5" t="s">
        <v>13</v>
      </c>
      <c r="D45" s="5" t="s">
        <v>14</v>
      </c>
      <c r="E45" s="6" t="n">
        <v>9865</v>
      </c>
      <c r="F45" s="6"/>
      <c r="G45" s="7"/>
      <c r="H45" s="8"/>
      <c r="I45" s="8"/>
      <c r="J45" s="7"/>
    </row>
    <row r="46" customFormat="false" ht="15" hidden="false" customHeight="true" outlineLevel="0" collapsed="false">
      <c r="A46" s="4" t="s">
        <v>69</v>
      </c>
      <c r="B46" s="5" t="s">
        <v>68</v>
      </c>
      <c r="C46" s="5" t="s">
        <v>13</v>
      </c>
      <c r="D46" s="5" t="s">
        <v>16</v>
      </c>
      <c r="E46" s="6" t="n">
        <v>5304</v>
      </c>
      <c r="F46" s="6" t="n">
        <v>9865</v>
      </c>
      <c r="G46" s="7" t="n">
        <v>0.537658388241257</v>
      </c>
      <c r="H46" s="8"/>
      <c r="I46" s="8"/>
      <c r="J46" s="7" t="n">
        <v>0.462341611758743</v>
      </c>
    </row>
    <row r="47" customFormat="false" ht="15" hidden="false" customHeight="true" outlineLevel="0" collapsed="false">
      <c r="A47" s="4" t="s">
        <v>70</v>
      </c>
      <c r="B47" s="5" t="s">
        <v>68</v>
      </c>
      <c r="C47" s="5" t="s">
        <v>13</v>
      </c>
      <c r="D47" s="5" t="s">
        <v>18</v>
      </c>
      <c r="E47" s="6" t="n">
        <v>1393</v>
      </c>
      <c r="F47" s="6" t="n">
        <v>5304</v>
      </c>
      <c r="G47" s="7" t="n">
        <v>0.26263197586727</v>
      </c>
      <c r="H47" s="8"/>
      <c r="I47" s="8"/>
      <c r="J47" s="7" t="n">
        <v>0.73736802413273</v>
      </c>
    </row>
    <row r="48" customFormat="false" ht="15" hidden="false" customHeight="true" outlineLevel="0" collapsed="false">
      <c r="A48" s="4" t="s">
        <v>71</v>
      </c>
      <c r="B48" s="5" t="s">
        <v>68</v>
      </c>
      <c r="C48" s="5" t="s">
        <v>13</v>
      </c>
      <c r="D48" s="5" t="s">
        <v>20</v>
      </c>
      <c r="E48" s="6" t="n">
        <v>853</v>
      </c>
      <c r="F48" s="6" t="n">
        <v>1393</v>
      </c>
      <c r="G48" s="7" t="n">
        <v>0.612347451543431</v>
      </c>
      <c r="H48" s="8"/>
      <c r="I48" s="8"/>
      <c r="J48" s="7" t="n">
        <v>0.387652548456569</v>
      </c>
    </row>
    <row r="49" customFormat="false" ht="15" hidden="false" customHeight="true" outlineLevel="0" collapsed="false">
      <c r="A49" s="4" t="s">
        <v>72</v>
      </c>
      <c r="B49" s="5" t="s">
        <v>68</v>
      </c>
      <c r="C49" s="5" t="s">
        <v>13</v>
      </c>
      <c r="D49" s="5" t="s">
        <v>22</v>
      </c>
      <c r="E49" s="6" t="n">
        <v>326</v>
      </c>
      <c r="F49" s="6" t="n">
        <v>853</v>
      </c>
      <c r="G49" s="7" t="n">
        <v>0.382180539273154</v>
      </c>
      <c r="H49" s="8"/>
      <c r="I49" s="8"/>
      <c r="J49" s="7" t="n">
        <v>0.617819460726846</v>
      </c>
    </row>
    <row r="50" customFormat="false" ht="15" hidden="false" customHeight="true" outlineLevel="0" collapsed="false">
      <c r="A50" s="4" t="s">
        <v>73</v>
      </c>
      <c r="B50" s="5" t="s">
        <v>68</v>
      </c>
      <c r="C50" s="5" t="s">
        <v>13</v>
      </c>
      <c r="D50" s="5" t="s">
        <v>24</v>
      </c>
      <c r="E50" s="6" t="n">
        <v>185</v>
      </c>
      <c r="F50" s="6" t="n">
        <v>326</v>
      </c>
      <c r="G50" s="7" t="n">
        <v>0.567484662576687</v>
      </c>
      <c r="H50" s="8"/>
      <c r="I50" s="8"/>
      <c r="J50" s="7" t="n">
        <v>0.432515337423313</v>
      </c>
    </row>
    <row r="51" customFormat="false" ht="15" hidden="false" customHeight="true" outlineLevel="0" collapsed="false">
      <c r="A51" s="4" t="s">
        <v>74</v>
      </c>
      <c r="B51" s="5" t="s">
        <v>68</v>
      </c>
      <c r="C51" s="5" t="s">
        <v>13</v>
      </c>
      <c r="D51" s="5" t="s">
        <v>26</v>
      </c>
      <c r="E51" s="6" t="n">
        <v>130</v>
      </c>
      <c r="F51" s="6" t="n">
        <v>185</v>
      </c>
      <c r="G51" s="7" t="n">
        <v>0.702702702702703</v>
      </c>
      <c r="H51" s="8" t="n">
        <v>210860</v>
      </c>
      <c r="I51" s="8" t="n">
        <v>1622</v>
      </c>
      <c r="J51" s="7" t="n">
        <v>0.297297297297297</v>
      </c>
    </row>
    <row r="52" customFormat="false" ht="15" hidden="false" customHeight="true" outlineLevel="0" collapsed="false">
      <c r="A52" s="4" t="s">
        <v>75</v>
      </c>
      <c r="B52" s="5" t="s">
        <v>68</v>
      </c>
      <c r="C52" s="5" t="s">
        <v>28</v>
      </c>
      <c r="D52" s="5" t="s">
        <v>14</v>
      </c>
      <c r="E52" s="6" t="n">
        <v>3907</v>
      </c>
      <c r="F52" s="6"/>
      <c r="G52" s="7"/>
      <c r="H52" s="8"/>
      <c r="I52" s="8"/>
      <c r="J52" s="7"/>
    </row>
    <row r="53" customFormat="false" ht="15" hidden="false" customHeight="true" outlineLevel="0" collapsed="false">
      <c r="A53" s="4" t="s">
        <v>76</v>
      </c>
      <c r="B53" s="5" t="s">
        <v>68</v>
      </c>
      <c r="C53" s="5" t="s">
        <v>28</v>
      </c>
      <c r="D53" s="5" t="s">
        <v>16</v>
      </c>
      <c r="E53" s="6" t="n">
        <v>2112</v>
      </c>
      <c r="F53" s="6" t="n">
        <v>3907</v>
      </c>
      <c r="G53" s="7" t="n">
        <v>0.540568210903507</v>
      </c>
      <c r="H53" s="8"/>
      <c r="I53" s="8"/>
      <c r="J53" s="7" t="n">
        <v>0.459431789096494</v>
      </c>
    </row>
    <row r="54" customFormat="false" ht="15" hidden="false" customHeight="true" outlineLevel="0" collapsed="false">
      <c r="A54" s="4" t="s">
        <v>77</v>
      </c>
      <c r="B54" s="5" t="s">
        <v>68</v>
      </c>
      <c r="C54" s="5" t="s">
        <v>28</v>
      </c>
      <c r="D54" s="5" t="s">
        <v>18</v>
      </c>
      <c r="E54" s="6" t="n">
        <v>642</v>
      </c>
      <c r="F54" s="6" t="n">
        <v>2112</v>
      </c>
      <c r="G54" s="7" t="n">
        <v>0.303977272727273</v>
      </c>
      <c r="H54" s="8"/>
      <c r="I54" s="8"/>
      <c r="J54" s="7" t="n">
        <v>0.696022727272727</v>
      </c>
    </row>
    <row r="55" customFormat="false" ht="15" hidden="false" customHeight="true" outlineLevel="0" collapsed="false">
      <c r="A55" s="4" t="s">
        <v>78</v>
      </c>
      <c r="B55" s="5" t="s">
        <v>68</v>
      </c>
      <c r="C55" s="5" t="s">
        <v>28</v>
      </c>
      <c r="D55" s="5" t="s">
        <v>20</v>
      </c>
      <c r="E55" s="6" t="n">
        <v>458</v>
      </c>
      <c r="F55" s="6" t="n">
        <v>642</v>
      </c>
      <c r="G55" s="7" t="n">
        <v>0.713395638629284</v>
      </c>
      <c r="H55" s="8"/>
      <c r="I55" s="8"/>
      <c r="J55" s="7" t="n">
        <v>0.286604361370717</v>
      </c>
    </row>
    <row r="56" customFormat="false" ht="15" hidden="false" customHeight="true" outlineLevel="0" collapsed="false">
      <c r="A56" s="4" t="s">
        <v>79</v>
      </c>
      <c r="B56" s="5" t="s">
        <v>68</v>
      </c>
      <c r="C56" s="5" t="s">
        <v>28</v>
      </c>
      <c r="D56" s="5" t="s">
        <v>22</v>
      </c>
      <c r="E56" s="6" t="n">
        <v>182</v>
      </c>
      <c r="F56" s="6" t="n">
        <v>458</v>
      </c>
      <c r="G56" s="7" t="n">
        <v>0.397379912663755</v>
      </c>
      <c r="H56" s="8"/>
      <c r="I56" s="8"/>
      <c r="J56" s="7" t="n">
        <v>0.602620087336245</v>
      </c>
    </row>
    <row r="57" customFormat="false" ht="15" hidden="false" customHeight="true" outlineLevel="0" collapsed="false">
      <c r="A57" s="4" t="s">
        <v>80</v>
      </c>
      <c r="B57" s="5" t="s">
        <v>68</v>
      </c>
      <c r="C57" s="5" t="s">
        <v>28</v>
      </c>
      <c r="D57" s="5" t="s">
        <v>24</v>
      </c>
      <c r="E57" s="6" t="n">
        <v>123</v>
      </c>
      <c r="F57" s="6" t="n">
        <v>182</v>
      </c>
      <c r="G57" s="7" t="n">
        <v>0.675824175824176</v>
      </c>
      <c r="H57" s="8"/>
      <c r="I57" s="8"/>
      <c r="J57" s="7" t="n">
        <v>0.324175824175824</v>
      </c>
    </row>
    <row r="58" customFormat="false" ht="15" hidden="false" customHeight="true" outlineLevel="0" collapsed="false">
      <c r="A58" s="4" t="s">
        <v>81</v>
      </c>
      <c r="B58" s="5" t="s">
        <v>68</v>
      </c>
      <c r="C58" s="5" t="s">
        <v>28</v>
      </c>
      <c r="D58" s="5" t="s">
        <v>26</v>
      </c>
      <c r="E58" s="6" t="n">
        <v>85</v>
      </c>
      <c r="F58" s="6" t="n">
        <v>123</v>
      </c>
      <c r="G58" s="7" t="n">
        <v>0.691056910569106</v>
      </c>
      <c r="H58" s="8" t="n">
        <v>87380</v>
      </c>
      <c r="I58" s="8" t="n">
        <v>1028</v>
      </c>
      <c r="J58" s="7" t="n">
        <v>0.308943089430894</v>
      </c>
    </row>
    <row r="59" customFormat="false" ht="15" hidden="false" customHeight="true" outlineLevel="0" collapsed="false">
      <c r="A59" s="4" t="s">
        <v>82</v>
      </c>
      <c r="B59" s="5" t="s">
        <v>68</v>
      </c>
      <c r="C59" s="5" t="s">
        <v>36</v>
      </c>
      <c r="D59" s="5" t="s">
        <v>14</v>
      </c>
      <c r="E59" s="6" t="n">
        <v>5145</v>
      </c>
      <c r="F59" s="6"/>
      <c r="G59" s="7"/>
      <c r="H59" s="8"/>
      <c r="I59" s="8"/>
      <c r="J59" s="7"/>
    </row>
    <row r="60" customFormat="false" ht="15" hidden="false" customHeight="true" outlineLevel="0" collapsed="false">
      <c r="A60" s="4" t="s">
        <v>83</v>
      </c>
      <c r="B60" s="5" t="s">
        <v>68</v>
      </c>
      <c r="C60" s="5" t="s">
        <v>36</v>
      </c>
      <c r="D60" s="5" t="s">
        <v>16</v>
      </c>
      <c r="E60" s="6" t="n">
        <v>3015</v>
      </c>
      <c r="F60" s="6" t="n">
        <v>5145</v>
      </c>
      <c r="G60" s="7" t="n">
        <v>0.58600583090379</v>
      </c>
      <c r="H60" s="8"/>
      <c r="I60" s="8"/>
      <c r="J60" s="7" t="n">
        <v>0.41399416909621</v>
      </c>
    </row>
    <row r="61" customFormat="false" ht="15" hidden="false" customHeight="true" outlineLevel="0" collapsed="false">
      <c r="A61" s="4" t="s">
        <v>84</v>
      </c>
      <c r="B61" s="5" t="s">
        <v>68</v>
      </c>
      <c r="C61" s="5" t="s">
        <v>36</v>
      </c>
      <c r="D61" s="5" t="s">
        <v>18</v>
      </c>
      <c r="E61" s="6" t="n">
        <v>980</v>
      </c>
      <c r="F61" s="6" t="n">
        <v>3015</v>
      </c>
      <c r="G61" s="7" t="n">
        <v>0.325041459369818</v>
      </c>
      <c r="H61" s="8"/>
      <c r="I61" s="8"/>
      <c r="J61" s="7" t="n">
        <v>0.674958540630182</v>
      </c>
    </row>
    <row r="62" customFormat="false" ht="15" hidden="false" customHeight="true" outlineLevel="0" collapsed="false">
      <c r="A62" s="4" t="s">
        <v>85</v>
      </c>
      <c r="B62" s="5" t="s">
        <v>68</v>
      </c>
      <c r="C62" s="5" t="s">
        <v>36</v>
      </c>
      <c r="D62" s="5" t="s">
        <v>20</v>
      </c>
      <c r="E62" s="6" t="n">
        <v>570</v>
      </c>
      <c r="F62" s="6" t="n">
        <v>980</v>
      </c>
      <c r="G62" s="7" t="n">
        <v>0.581632653061225</v>
      </c>
      <c r="H62" s="8"/>
      <c r="I62" s="8"/>
      <c r="J62" s="7" t="n">
        <v>0.418367346938776</v>
      </c>
    </row>
    <row r="63" customFormat="false" ht="15" hidden="false" customHeight="true" outlineLevel="0" collapsed="false">
      <c r="A63" s="4" t="s">
        <v>86</v>
      </c>
      <c r="B63" s="5" t="s">
        <v>68</v>
      </c>
      <c r="C63" s="5" t="s">
        <v>36</v>
      </c>
      <c r="D63" s="5" t="s">
        <v>22</v>
      </c>
      <c r="E63" s="6" t="n">
        <v>290</v>
      </c>
      <c r="F63" s="6" t="n">
        <v>570</v>
      </c>
      <c r="G63" s="7" t="n">
        <v>0.508771929824561</v>
      </c>
      <c r="H63" s="8"/>
      <c r="I63" s="8"/>
      <c r="J63" s="7" t="n">
        <v>0.491228070175439</v>
      </c>
    </row>
    <row r="64" customFormat="false" ht="15" hidden="false" customHeight="true" outlineLevel="0" collapsed="false">
      <c r="A64" s="4" t="s">
        <v>87</v>
      </c>
      <c r="B64" s="5" t="s">
        <v>68</v>
      </c>
      <c r="C64" s="5" t="s">
        <v>36</v>
      </c>
      <c r="D64" s="5" t="s">
        <v>24</v>
      </c>
      <c r="E64" s="6" t="n">
        <v>154</v>
      </c>
      <c r="F64" s="6" t="n">
        <v>290</v>
      </c>
      <c r="G64" s="7" t="n">
        <v>0.531034482758621</v>
      </c>
      <c r="H64" s="8"/>
      <c r="I64" s="8"/>
      <c r="J64" s="7" t="n">
        <v>0.468965517241379</v>
      </c>
    </row>
    <row r="65" customFormat="false" ht="15" hidden="false" customHeight="true" outlineLevel="0" collapsed="false">
      <c r="A65" s="4" t="s">
        <v>88</v>
      </c>
      <c r="B65" s="5" t="s">
        <v>68</v>
      </c>
      <c r="C65" s="5" t="s">
        <v>36</v>
      </c>
      <c r="D65" s="5" t="s">
        <v>26</v>
      </c>
      <c r="E65" s="6" t="n">
        <v>95</v>
      </c>
      <c r="F65" s="6" t="n">
        <v>154</v>
      </c>
      <c r="G65" s="7" t="n">
        <v>0.616883116883117</v>
      </c>
      <c r="H65" s="8" t="n">
        <v>191140</v>
      </c>
      <c r="I65" s="8" t="n">
        <v>2012</v>
      </c>
      <c r="J65" s="7" t="n">
        <v>0.383116883116883</v>
      </c>
    </row>
    <row r="66" customFormat="false" ht="15" hidden="false" customHeight="true" outlineLevel="0" collapsed="false">
      <c r="A66" s="4" t="s">
        <v>89</v>
      </c>
      <c r="B66" s="5" t="s">
        <v>68</v>
      </c>
      <c r="C66" s="5" t="s">
        <v>44</v>
      </c>
      <c r="D66" s="5" t="s">
        <v>14</v>
      </c>
      <c r="E66" s="6" t="n">
        <v>5853</v>
      </c>
      <c r="F66" s="6"/>
      <c r="G66" s="7"/>
      <c r="H66" s="8"/>
      <c r="I66" s="8"/>
      <c r="J66" s="7"/>
    </row>
    <row r="67" customFormat="false" ht="15" hidden="false" customHeight="true" outlineLevel="0" collapsed="false">
      <c r="A67" s="4" t="s">
        <v>90</v>
      </c>
      <c r="B67" s="5" t="s">
        <v>68</v>
      </c>
      <c r="C67" s="5" t="s">
        <v>44</v>
      </c>
      <c r="D67" s="5" t="s">
        <v>16</v>
      </c>
      <c r="E67" s="6" t="n">
        <v>3132</v>
      </c>
      <c r="F67" s="6" t="n">
        <v>5853</v>
      </c>
      <c r="G67" s="7" t="n">
        <v>0.535110199897488</v>
      </c>
      <c r="H67" s="8"/>
      <c r="I67" s="8"/>
      <c r="J67" s="7" t="n">
        <v>0.464889800102512</v>
      </c>
    </row>
    <row r="68" customFormat="false" ht="15" hidden="false" customHeight="true" outlineLevel="0" collapsed="false">
      <c r="A68" s="4" t="s">
        <v>91</v>
      </c>
      <c r="B68" s="5" t="s">
        <v>68</v>
      </c>
      <c r="C68" s="5" t="s">
        <v>44</v>
      </c>
      <c r="D68" s="5" t="s">
        <v>18</v>
      </c>
      <c r="E68" s="6" t="n">
        <v>1059</v>
      </c>
      <c r="F68" s="6" t="n">
        <v>3132</v>
      </c>
      <c r="G68" s="7" t="n">
        <v>0.338122605363985</v>
      </c>
      <c r="H68" s="8"/>
      <c r="I68" s="8"/>
      <c r="J68" s="7" t="n">
        <v>0.661877394636015</v>
      </c>
    </row>
    <row r="69" customFormat="false" ht="15" hidden="false" customHeight="true" outlineLevel="0" collapsed="false">
      <c r="A69" s="4" t="s">
        <v>92</v>
      </c>
      <c r="B69" s="5" t="s">
        <v>68</v>
      </c>
      <c r="C69" s="5" t="s">
        <v>44</v>
      </c>
      <c r="D69" s="5" t="s">
        <v>20</v>
      </c>
      <c r="E69" s="6" t="n">
        <v>766</v>
      </c>
      <c r="F69" s="6" t="n">
        <v>1059</v>
      </c>
      <c r="G69" s="7" t="n">
        <v>0.723323890462701</v>
      </c>
      <c r="H69" s="8"/>
      <c r="I69" s="8"/>
      <c r="J69" s="7" t="n">
        <v>0.276676109537299</v>
      </c>
    </row>
    <row r="70" customFormat="false" ht="15" hidden="false" customHeight="true" outlineLevel="0" collapsed="false">
      <c r="A70" s="4" t="s">
        <v>93</v>
      </c>
      <c r="B70" s="5" t="s">
        <v>68</v>
      </c>
      <c r="C70" s="5" t="s">
        <v>44</v>
      </c>
      <c r="D70" s="5" t="s">
        <v>22</v>
      </c>
      <c r="E70" s="6" t="n">
        <v>325</v>
      </c>
      <c r="F70" s="6" t="n">
        <v>766</v>
      </c>
      <c r="G70" s="7" t="n">
        <v>0.424281984334204</v>
      </c>
      <c r="H70" s="8"/>
      <c r="I70" s="8"/>
      <c r="J70" s="7" t="n">
        <v>0.575718015665796</v>
      </c>
    </row>
    <row r="71" customFormat="false" ht="15" hidden="false" customHeight="true" outlineLevel="0" collapsed="false">
      <c r="A71" s="4" t="s">
        <v>94</v>
      </c>
      <c r="B71" s="5" t="s">
        <v>68</v>
      </c>
      <c r="C71" s="5" t="s">
        <v>44</v>
      </c>
      <c r="D71" s="5" t="s">
        <v>24</v>
      </c>
      <c r="E71" s="6" t="n">
        <v>194</v>
      </c>
      <c r="F71" s="6" t="n">
        <v>325</v>
      </c>
      <c r="G71" s="7" t="n">
        <v>0.596923076923077</v>
      </c>
      <c r="H71" s="8"/>
      <c r="I71" s="8"/>
      <c r="J71" s="7" t="n">
        <v>0.403076923076923</v>
      </c>
    </row>
    <row r="72" customFormat="false" ht="15" hidden="false" customHeight="true" outlineLevel="0" collapsed="false">
      <c r="A72" s="4" t="s">
        <v>95</v>
      </c>
      <c r="B72" s="5" t="s">
        <v>68</v>
      </c>
      <c r="C72" s="5" t="s">
        <v>44</v>
      </c>
      <c r="D72" s="5" t="s">
        <v>26</v>
      </c>
      <c r="E72" s="6" t="n">
        <v>124</v>
      </c>
      <c r="F72" s="6" t="n">
        <v>194</v>
      </c>
      <c r="G72" s="7" t="n">
        <v>0.639175257731959</v>
      </c>
      <c r="H72" s="8" t="n">
        <v>230020</v>
      </c>
      <c r="I72" s="8" t="n">
        <v>1855</v>
      </c>
      <c r="J72" s="7" t="n">
        <v>0.360824742268041</v>
      </c>
    </row>
    <row r="73" customFormat="false" ht="15" hidden="false" customHeight="true" outlineLevel="0" collapsed="false">
      <c r="A73" s="4" t="s">
        <v>96</v>
      </c>
      <c r="B73" s="5" t="s">
        <v>68</v>
      </c>
      <c r="C73" s="5" t="s">
        <v>52</v>
      </c>
      <c r="D73" s="5" t="s">
        <v>14</v>
      </c>
      <c r="E73" s="6" t="n">
        <v>4920</v>
      </c>
      <c r="F73" s="6"/>
      <c r="G73" s="7"/>
      <c r="H73" s="8"/>
      <c r="I73" s="8"/>
      <c r="J73" s="7"/>
    </row>
    <row r="74" customFormat="false" ht="15" hidden="false" customHeight="true" outlineLevel="0" collapsed="false">
      <c r="A74" s="4" t="s">
        <v>97</v>
      </c>
      <c r="B74" s="5" t="s">
        <v>68</v>
      </c>
      <c r="C74" s="5" t="s">
        <v>52</v>
      </c>
      <c r="D74" s="5" t="s">
        <v>16</v>
      </c>
      <c r="E74" s="6" t="n">
        <v>2593</v>
      </c>
      <c r="F74" s="6" t="n">
        <v>4920</v>
      </c>
      <c r="G74" s="7" t="n">
        <v>0.527032520325203</v>
      </c>
      <c r="H74" s="8"/>
      <c r="I74" s="8"/>
      <c r="J74" s="7" t="n">
        <v>0.472967479674797</v>
      </c>
    </row>
    <row r="75" customFormat="false" ht="15" hidden="false" customHeight="true" outlineLevel="0" collapsed="false">
      <c r="A75" s="4" t="s">
        <v>98</v>
      </c>
      <c r="B75" s="5" t="s">
        <v>68</v>
      </c>
      <c r="C75" s="5" t="s">
        <v>52</v>
      </c>
      <c r="D75" s="5" t="s">
        <v>18</v>
      </c>
      <c r="E75" s="6" t="n">
        <v>819</v>
      </c>
      <c r="F75" s="6" t="n">
        <v>2593</v>
      </c>
      <c r="G75" s="7" t="n">
        <v>0.315850366370999</v>
      </c>
      <c r="H75" s="8"/>
      <c r="I75" s="8"/>
      <c r="J75" s="7" t="n">
        <v>0.684149633629001</v>
      </c>
    </row>
    <row r="76" customFormat="false" ht="15" hidden="false" customHeight="true" outlineLevel="0" collapsed="false">
      <c r="A76" s="4" t="s">
        <v>99</v>
      </c>
      <c r="B76" s="5" t="s">
        <v>68</v>
      </c>
      <c r="C76" s="5" t="s">
        <v>52</v>
      </c>
      <c r="D76" s="5" t="s">
        <v>20</v>
      </c>
      <c r="E76" s="6" t="n">
        <v>532</v>
      </c>
      <c r="F76" s="6" t="n">
        <v>819</v>
      </c>
      <c r="G76" s="7" t="n">
        <v>0.64957264957265</v>
      </c>
      <c r="H76" s="8"/>
      <c r="I76" s="8"/>
      <c r="J76" s="7" t="n">
        <v>0.35042735042735</v>
      </c>
    </row>
    <row r="77" customFormat="false" ht="15" hidden="false" customHeight="true" outlineLevel="0" collapsed="false">
      <c r="A77" s="4" t="s">
        <v>100</v>
      </c>
      <c r="B77" s="5" t="s">
        <v>68</v>
      </c>
      <c r="C77" s="5" t="s">
        <v>52</v>
      </c>
      <c r="D77" s="5" t="s">
        <v>22</v>
      </c>
      <c r="E77" s="6" t="n">
        <v>204</v>
      </c>
      <c r="F77" s="6" t="n">
        <v>532</v>
      </c>
      <c r="G77" s="7" t="n">
        <v>0.383458646616541</v>
      </c>
      <c r="H77" s="8"/>
      <c r="I77" s="8"/>
      <c r="J77" s="7" t="n">
        <v>0.616541353383459</v>
      </c>
    </row>
    <row r="78" customFormat="false" ht="15" hidden="false" customHeight="true" outlineLevel="0" collapsed="false">
      <c r="A78" s="4" t="s">
        <v>101</v>
      </c>
      <c r="B78" s="5" t="s">
        <v>68</v>
      </c>
      <c r="C78" s="5" t="s">
        <v>52</v>
      </c>
      <c r="D78" s="5" t="s">
        <v>24</v>
      </c>
      <c r="E78" s="6" t="n">
        <v>134</v>
      </c>
      <c r="F78" s="6" t="n">
        <v>204</v>
      </c>
      <c r="G78" s="7" t="n">
        <v>0.656862745098039</v>
      </c>
      <c r="H78" s="8"/>
      <c r="I78" s="8"/>
      <c r="J78" s="7" t="n">
        <v>0.343137254901961</v>
      </c>
    </row>
    <row r="79" customFormat="false" ht="15" hidden="false" customHeight="true" outlineLevel="0" collapsed="false">
      <c r="A79" s="4" t="s">
        <v>102</v>
      </c>
      <c r="B79" s="5" t="s">
        <v>68</v>
      </c>
      <c r="C79" s="5" t="s">
        <v>52</v>
      </c>
      <c r="D79" s="5" t="s">
        <v>26</v>
      </c>
      <c r="E79" s="6" t="n">
        <v>89</v>
      </c>
      <c r="F79" s="6" t="n">
        <v>134</v>
      </c>
      <c r="G79" s="7" t="n">
        <v>0.664179104477612</v>
      </c>
      <c r="H79" s="8" t="n">
        <v>208616</v>
      </c>
      <c r="I79" s="8" t="n">
        <v>2344</v>
      </c>
      <c r="J79" s="7" t="n">
        <v>0.335820895522388</v>
      </c>
    </row>
    <row r="80" customFormat="false" ht="15" hidden="false" customHeight="true" outlineLevel="0" collapsed="false">
      <c r="A80" s="4" t="s">
        <v>103</v>
      </c>
      <c r="B80" s="5" t="s">
        <v>68</v>
      </c>
      <c r="C80" s="5" t="s">
        <v>60</v>
      </c>
      <c r="D80" s="5" t="s">
        <v>14</v>
      </c>
      <c r="E80" s="6" t="n">
        <v>9538</v>
      </c>
      <c r="F80" s="6"/>
      <c r="G80" s="7"/>
      <c r="H80" s="8"/>
      <c r="I80" s="8"/>
      <c r="J80" s="7"/>
    </row>
    <row r="81" customFormat="false" ht="15" hidden="false" customHeight="true" outlineLevel="0" collapsed="false">
      <c r="A81" s="4" t="s">
        <v>104</v>
      </c>
      <c r="B81" s="5" t="s">
        <v>68</v>
      </c>
      <c r="C81" s="5" t="s">
        <v>60</v>
      </c>
      <c r="D81" s="5" t="s">
        <v>16</v>
      </c>
      <c r="E81" s="6" t="n">
        <v>5737</v>
      </c>
      <c r="F81" s="6" t="n">
        <v>9538</v>
      </c>
      <c r="G81" s="7" t="n">
        <v>0.601488781715244</v>
      </c>
      <c r="H81" s="8"/>
      <c r="I81" s="8"/>
      <c r="J81" s="7" t="n">
        <v>0.398511218284756</v>
      </c>
    </row>
    <row r="82" customFormat="false" ht="15" hidden="false" customHeight="true" outlineLevel="0" collapsed="false">
      <c r="A82" s="4" t="s">
        <v>105</v>
      </c>
      <c r="B82" s="5" t="s">
        <v>68</v>
      </c>
      <c r="C82" s="5" t="s">
        <v>60</v>
      </c>
      <c r="D82" s="5" t="s">
        <v>18</v>
      </c>
      <c r="E82" s="6" t="n">
        <v>1662</v>
      </c>
      <c r="F82" s="6" t="n">
        <v>5737</v>
      </c>
      <c r="G82" s="7" t="n">
        <v>0.289698448666551</v>
      </c>
      <c r="H82" s="8"/>
      <c r="I82" s="8"/>
      <c r="J82" s="7" t="n">
        <v>0.71030155133345</v>
      </c>
    </row>
    <row r="83" customFormat="false" ht="15" hidden="false" customHeight="true" outlineLevel="0" collapsed="false">
      <c r="A83" s="4" t="s">
        <v>106</v>
      </c>
      <c r="B83" s="5" t="s">
        <v>68</v>
      </c>
      <c r="C83" s="5" t="s">
        <v>60</v>
      </c>
      <c r="D83" s="5" t="s">
        <v>20</v>
      </c>
      <c r="E83" s="6" t="n">
        <v>1181</v>
      </c>
      <c r="F83" s="6" t="n">
        <v>1662</v>
      </c>
      <c r="G83" s="7" t="n">
        <v>0.710589651022864</v>
      </c>
      <c r="H83" s="8"/>
      <c r="I83" s="8"/>
      <c r="J83" s="7" t="n">
        <v>0.289410348977136</v>
      </c>
    </row>
    <row r="84" customFormat="false" ht="15" hidden="false" customHeight="true" outlineLevel="0" collapsed="false">
      <c r="A84" s="4" t="s">
        <v>107</v>
      </c>
      <c r="B84" s="5" t="s">
        <v>68</v>
      </c>
      <c r="C84" s="5" t="s">
        <v>60</v>
      </c>
      <c r="D84" s="5" t="s">
        <v>22</v>
      </c>
      <c r="E84" s="6" t="n">
        <v>536</v>
      </c>
      <c r="F84" s="6" t="n">
        <v>1181</v>
      </c>
      <c r="G84" s="7" t="n">
        <v>0.45385266723116</v>
      </c>
      <c r="H84" s="8"/>
      <c r="I84" s="8"/>
      <c r="J84" s="7" t="n">
        <v>0.54614733276884</v>
      </c>
    </row>
    <row r="85" customFormat="false" ht="15" hidden="false" customHeight="true" outlineLevel="0" collapsed="false">
      <c r="A85" s="4" t="s">
        <v>108</v>
      </c>
      <c r="B85" s="5" t="s">
        <v>68</v>
      </c>
      <c r="C85" s="5" t="s">
        <v>60</v>
      </c>
      <c r="D85" s="5" t="s">
        <v>24</v>
      </c>
      <c r="E85" s="6" t="n">
        <v>290</v>
      </c>
      <c r="F85" s="6" t="n">
        <v>536</v>
      </c>
      <c r="G85" s="7" t="n">
        <v>0.541044776119403</v>
      </c>
      <c r="H85" s="8"/>
      <c r="I85" s="8"/>
      <c r="J85" s="7" t="n">
        <v>0.458955223880597</v>
      </c>
    </row>
    <row r="86" customFormat="false" ht="15" hidden="false" customHeight="true" outlineLevel="0" collapsed="false">
      <c r="A86" s="4" t="s">
        <v>109</v>
      </c>
      <c r="B86" s="5" t="s">
        <v>68</v>
      </c>
      <c r="C86" s="5" t="s">
        <v>60</v>
      </c>
      <c r="D86" s="5" t="s">
        <v>26</v>
      </c>
      <c r="E86" s="6" t="n">
        <v>174</v>
      </c>
      <c r="F86" s="6" t="n">
        <v>290</v>
      </c>
      <c r="G86" s="7" t="n">
        <v>0.6</v>
      </c>
      <c r="H86" s="8" t="n">
        <v>404898</v>
      </c>
      <c r="I86" s="8" t="n">
        <v>2327</v>
      </c>
      <c r="J86" s="7" t="n">
        <v>0.4</v>
      </c>
    </row>
    <row r="87" customFormat="false" ht="15" hidden="false" customHeight="true" outlineLevel="0" collapsed="false">
      <c r="A87" s="4" t="s">
        <v>110</v>
      </c>
      <c r="B87" s="5" t="s">
        <v>111</v>
      </c>
      <c r="C87" s="5" t="s">
        <v>13</v>
      </c>
      <c r="D87" s="5" t="s">
        <v>14</v>
      </c>
      <c r="E87" s="6" t="n">
        <v>14823</v>
      </c>
      <c r="F87" s="6"/>
      <c r="G87" s="7"/>
      <c r="H87" s="8"/>
      <c r="I87" s="8"/>
      <c r="J87" s="7"/>
    </row>
    <row r="88" customFormat="false" ht="15" hidden="false" customHeight="true" outlineLevel="0" collapsed="false">
      <c r="A88" s="4" t="s">
        <v>112</v>
      </c>
      <c r="B88" s="5" t="s">
        <v>111</v>
      </c>
      <c r="C88" s="5" t="s">
        <v>13</v>
      </c>
      <c r="D88" s="5" t="s">
        <v>16</v>
      </c>
      <c r="E88" s="6" t="n">
        <v>8815</v>
      </c>
      <c r="F88" s="6" t="n">
        <v>14823</v>
      </c>
      <c r="G88" s="7" t="n">
        <v>0.594683937124739</v>
      </c>
      <c r="H88" s="8"/>
      <c r="I88" s="8"/>
      <c r="J88" s="7" t="n">
        <v>0.405316062875262</v>
      </c>
    </row>
    <row r="89" customFormat="false" ht="15" hidden="false" customHeight="true" outlineLevel="0" collapsed="false">
      <c r="A89" s="4" t="s">
        <v>113</v>
      </c>
      <c r="B89" s="5" t="s">
        <v>111</v>
      </c>
      <c r="C89" s="5" t="s">
        <v>13</v>
      </c>
      <c r="D89" s="5" t="s">
        <v>18</v>
      </c>
      <c r="E89" s="6" t="n">
        <v>2430</v>
      </c>
      <c r="F89" s="6" t="n">
        <v>8815</v>
      </c>
      <c r="G89" s="7" t="n">
        <v>0.275666477595009</v>
      </c>
      <c r="H89" s="8"/>
      <c r="I89" s="8"/>
      <c r="J89" s="7" t="n">
        <v>0.724333522404992</v>
      </c>
    </row>
    <row r="90" customFormat="false" ht="15" hidden="false" customHeight="true" outlineLevel="0" collapsed="false">
      <c r="A90" s="4" t="s">
        <v>114</v>
      </c>
      <c r="B90" s="5" t="s">
        <v>111</v>
      </c>
      <c r="C90" s="5" t="s">
        <v>13</v>
      </c>
      <c r="D90" s="5" t="s">
        <v>20</v>
      </c>
      <c r="E90" s="6" t="n">
        <v>1747</v>
      </c>
      <c r="F90" s="6" t="n">
        <v>2430</v>
      </c>
      <c r="G90" s="7" t="n">
        <v>0.718930041152263</v>
      </c>
      <c r="H90" s="8"/>
      <c r="I90" s="8"/>
      <c r="J90" s="7" t="n">
        <v>0.281069958847737</v>
      </c>
    </row>
    <row r="91" customFormat="false" ht="15" hidden="false" customHeight="true" outlineLevel="0" collapsed="false">
      <c r="A91" s="4" t="s">
        <v>115</v>
      </c>
      <c r="B91" s="5" t="s">
        <v>111</v>
      </c>
      <c r="C91" s="5" t="s">
        <v>13</v>
      </c>
      <c r="D91" s="5" t="s">
        <v>22</v>
      </c>
      <c r="E91" s="6" t="n">
        <v>721</v>
      </c>
      <c r="F91" s="6" t="n">
        <v>1747</v>
      </c>
      <c r="G91" s="7" t="n">
        <v>0.412707498568975</v>
      </c>
      <c r="H91" s="8"/>
      <c r="I91" s="8"/>
      <c r="J91" s="7" t="n">
        <v>0.587292501431025</v>
      </c>
    </row>
    <row r="92" customFormat="false" ht="15" hidden="false" customHeight="true" outlineLevel="0" collapsed="false">
      <c r="A92" s="4" t="s">
        <v>116</v>
      </c>
      <c r="B92" s="5" t="s">
        <v>111</v>
      </c>
      <c r="C92" s="5" t="s">
        <v>13</v>
      </c>
      <c r="D92" s="5" t="s">
        <v>24</v>
      </c>
      <c r="E92" s="6" t="n">
        <v>461</v>
      </c>
      <c r="F92" s="6" t="n">
        <v>721</v>
      </c>
      <c r="G92" s="7" t="n">
        <v>0.639389736477115</v>
      </c>
      <c r="H92" s="8"/>
      <c r="I92" s="8"/>
      <c r="J92" s="7" t="n">
        <v>0.360610263522885</v>
      </c>
    </row>
    <row r="93" customFormat="false" ht="15" hidden="false" customHeight="true" outlineLevel="0" collapsed="false">
      <c r="A93" s="4" t="s">
        <v>117</v>
      </c>
      <c r="B93" s="5" t="s">
        <v>111</v>
      </c>
      <c r="C93" s="5" t="s">
        <v>13</v>
      </c>
      <c r="D93" s="5" t="s">
        <v>26</v>
      </c>
      <c r="E93" s="6" t="n">
        <v>284</v>
      </c>
      <c r="F93" s="6" t="n">
        <v>461</v>
      </c>
      <c r="G93" s="7" t="n">
        <v>0.616052060737527</v>
      </c>
      <c r="H93" s="8" t="n">
        <v>1027228</v>
      </c>
      <c r="I93" s="8" t="n">
        <v>3617</v>
      </c>
      <c r="J93" s="7" t="n">
        <v>0.383947939262473</v>
      </c>
    </row>
    <row r="94" customFormat="false" ht="15" hidden="false" customHeight="true" outlineLevel="0" collapsed="false">
      <c r="A94" s="4" t="s">
        <v>118</v>
      </c>
      <c r="B94" s="5" t="s">
        <v>111</v>
      </c>
      <c r="C94" s="5" t="s">
        <v>28</v>
      </c>
      <c r="D94" s="5" t="s">
        <v>14</v>
      </c>
      <c r="E94" s="6" t="n">
        <v>14808</v>
      </c>
      <c r="F94" s="6"/>
      <c r="G94" s="7"/>
      <c r="H94" s="8"/>
      <c r="I94" s="8"/>
      <c r="J94" s="7"/>
    </row>
    <row r="95" customFormat="false" ht="15" hidden="false" customHeight="true" outlineLevel="0" collapsed="false">
      <c r="A95" s="4" t="s">
        <v>119</v>
      </c>
      <c r="B95" s="5" t="s">
        <v>111</v>
      </c>
      <c r="C95" s="5" t="s">
        <v>28</v>
      </c>
      <c r="D95" s="5" t="s">
        <v>16</v>
      </c>
      <c r="E95" s="6" t="n">
        <v>8789</v>
      </c>
      <c r="F95" s="6" t="n">
        <v>14808</v>
      </c>
      <c r="G95" s="7" t="n">
        <v>0.593530524041059</v>
      </c>
      <c r="H95" s="8"/>
      <c r="I95" s="8"/>
      <c r="J95" s="7" t="n">
        <v>0.406469475958941</v>
      </c>
    </row>
    <row r="96" customFormat="false" ht="15" hidden="false" customHeight="true" outlineLevel="0" collapsed="false">
      <c r="A96" s="4" t="s">
        <v>120</v>
      </c>
      <c r="B96" s="5" t="s">
        <v>111</v>
      </c>
      <c r="C96" s="5" t="s">
        <v>28</v>
      </c>
      <c r="D96" s="5" t="s">
        <v>18</v>
      </c>
      <c r="E96" s="6" t="n">
        <v>2804</v>
      </c>
      <c r="F96" s="6" t="n">
        <v>8789</v>
      </c>
      <c r="G96" s="7" t="n">
        <v>0.319035157583343</v>
      </c>
      <c r="H96" s="8"/>
      <c r="I96" s="8"/>
      <c r="J96" s="7" t="n">
        <v>0.680964842416657</v>
      </c>
    </row>
    <row r="97" customFormat="false" ht="15" hidden="false" customHeight="true" outlineLevel="0" collapsed="false">
      <c r="A97" s="4" t="s">
        <v>121</v>
      </c>
      <c r="B97" s="5" t="s">
        <v>111</v>
      </c>
      <c r="C97" s="5" t="s">
        <v>28</v>
      </c>
      <c r="D97" s="5" t="s">
        <v>20</v>
      </c>
      <c r="E97" s="6" t="n">
        <v>1938</v>
      </c>
      <c r="F97" s="6" t="n">
        <v>2804</v>
      </c>
      <c r="G97" s="7" t="n">
        <v>0.691155492154066</v>
      </c>
      <c r="H97" s="8"/>
      <c r="I97" s="8"/>
      <c r="J97" s="7" t="n">
        <v>0.308844507845934</v>
      </c>
    </row>
    <row r="98" customFormat="false" ht="15" hidden="false" customHeight="true" outlineLevel="0" collapsed="false">
      <c r="A98" s="4" t="s">
        <v>122</v>
      </c>
      <c r="B98" s="5" t="s">
        <v>111</v>
      </c>
      <c r="C98" s="5" t="s">
        <v>28</v>
      </c>
      <c r="D98" s="5" t="s">
        <v>22</v>
      </c>
      <c r="E98" s="6" t="n">
        <v>841</v>
      </c>
      <c r="F98" s="6" t="n">
        <v>1938</v>
      </c>
      <c r="G98" s="7" t="n">
        <v>0.433952528379773</v>
      </c>
      <c r="H98" s="8"/>
      <c r="I98" s="8"/>
      <c r="J98" s="7" t="n">
        <v>0.566047471620227</v>
      </c>
    </row>
    <row r="99" customFormat="false" ht="15" hidden="false" customHeight="true" outlineLevel="0" collapsed="false">
      <c r="A99" s="4" t="s">
        <v>123</v>
      </c>
      <c r="B99" s="5" t="s">
        <v>111</v>
      </c>
      <c r="C99" s="5" t="s">
        <v>28</v>
      </c>
      <c r="D99" s="5" t="s">
        <v>24</v>
      </c>
      <c r="E99" s="6" t="n">
        <v>495</v>
      </c>
      <c r="F99" s="6" t="n">
        <v>841</v>
      </c>
      <c r="G99" s="7" t="n">
        <v>0.58858501783591</v>
      </c>
      <c r="H99" s="8"/>
      <c r="I99" s="8"/>
      <c r="J99" s="7" t="n">
        <v>0.41141498216409</v>
      </c>
    </row>
    <row r="100" customFormat="false" ht="15" hidden="false" customHeight="true" outlineLevel="0" collapsed="false">
      <c r="A100" s="4" t="s">
        <v>124</v>
      </c>
      <c r="B100" s="5" t="s">
        <v>111</v>
      </c>
      <c r="C100" s="5" t="s">
        <v>28</v>
      </c>
      <c r="D100" s="5" t="s">
        <v>26</v>
      </c>
      <c r="E100" s="6" t="n">
        <v>394</v>
      </c>
      <c r="F100" s="6" t="n">
        <v>495</v>
      </c>
      <c r="G100" s="7" t="n">
        <v>0.795959595959596</v>
      </c>
      <c r="H100" s="8" t="n">
        <v>1739116</v>
      </c>
      <c r="I100" s="8" t="n">
        <v>4414</v>
      </c>
      <c r="J100" s="7" t="n">
        <v>0.204040404040404</v>
      </c>
    </row>
    <row r="101" customFormat="false" ht="15" hidden="false" customHeight="true" outlineLevel="0" collapsed="false">
      <c r="A101" s="4" t="s">
        <v>125</v>
      </c>
      <c r="B101" s="5" t="s">
        <v>111</v>
      </c>
      <c r="C101" s="5" t="s">
        <v>36</v>
      </c>
      <c r="D101" s="5" t="s">
        <v>14</v>
      </c>
      <c r="E101" s="6" t="n">
        <v>10173</v>
      </c>
      <c r="F101" s="6"/>
      <c r="G101" s="7"/>
      <c r="H101" s="8"/>
      <c r="I101" s="8"/>
      <c r="J101" s="7"/>
    </row>
    <row r="102" customFormat="false" ht="15" hidden="false" customHeight="true" outlineLevel="0" collapsed="false">
      <c r="A102" s="4" t="s">
        <v>126</v>
      </c>
      <c r="B102" s="5" t="s">
        <v>111</v>
      </c>
      <c r="C102" s="5" t="s">
        <v>36</v>
      </c>
      <c r="D102" s="5" t="s">
        <v>16</v>
      </c>
      <c r="E102" s="6" t="n">
        <v>6279</v>
      </c>
      <c r="F102" s="6" t="n">
        <v>10173</v>
      </c>
      <c r="G102" s="7" t="n">
        <v>0.617222058389856</v>
      </c>
      <c r="H102" s="8"/>
      <c r="I102" s="8"/>
      <c r="J102" s="7" t="n">
        <v>0.382777941610144</v>
      </c>
    </row>
    <row r="103" customFormat="false" ht="15" hidden="false" customHeight="true" outlineLevel="0" collapsed="false">
      <c r="A103" s="4" t="s">
        <v>127</v>
      </c>
      <c r="B103" s="5" t="s">
        <v>111</v>
      </c>
      <c r="C103" s="5" t="s">
        <v>36</v>
      </c>
      <c r="D103" s="5" t="s">
        <v>18</v>
      </c>
      <c r="E103" s="6" t="n">
        <v>1640</v>
      </c>
      <c r="F103" s="6" t="n">
        <v>6279</v>
      </c>
      <c r="G103" s="7" t="n">
        <v>0.261188087275044</v>
      </c>
      <c r="H103" s="8"/>
      <c r="I103" s="8"/>
      <c r="J103" s="7" t="n">
        <v>0.738811912724956</v>
      </c>
    </row>
    <row r="104" customFormat="false" ht="15" hidden="false" customHeight="true" outlineLevel="0" collapsed="false">
      <c r="A104" s="4" t="s">
        <v>128</v>
      </c>
      <c r="B104" s="5" t="s">
        <v>111</v>
      </c>
      <c r="C104" s="5" t="s">
        <v>36</v>
      </c>
      <c r="D104" s="5" t="s">
        <v>20</v>
      </c>
      <c r="E104" s="6" t="n">
        <v>999</v>
      </c>
      <c r="F104" s="6" t="n">
        <v>1640</v>
      </c>
      <c r="G104" s="7" t="n">
        <v>0.609146341463415</v>
      </c>
      <c r="H104" s="8"/>
      <c r="I104" s="8"/>
      <c r="J104" s="7" t="n">
        <v>0.390853658536585</v>
      </c>
    </row>
    <row r="105" customFormat="false" ht="15" hidden="false" customHeight="true" outlineLevel="0" collapsed="false">
      <c r="A105" s="4" t="s">
        <v>129</v>
      </c>
      <c r="B105" s="5" t="s">
        <v>111</v>
      </c>
      <c r="C105" s="5" t="s">
        <v>36</v>
      </c>
      <c r="D105" s="5" t="s">
        <v>22</v>
      </c>
      <c r="E105" s="6" t="n">
        <v>474</v>
      </c>
      <c r="F105" s="6" t="n">
        <v>999</v>
      </c>
      <c r="G105" s="7" t="n">
        <v>0.474474474474475</v>
      </c>
      <c r="H105" s="8"/>
      <c r="I105" s="8"/>
      <c r="J105" s="7" t="n">
        <v>0.525525525525526</v>
      </c>
    </row>
    <row r="106" customFormat="false" ht="15" hidden="false" customHeight="true" outlineLevel="0" collapsed="false">
      <c r="A106" s="4" t="s">
        <v>130</v>
      </c>
      <c r="B106" s="5" t="s">
        <v>111</v>
      </c>
      <c r="C106" s="5" t="s">
        <v>36</v>
      </c>
      <c r="D106" s="5" t="s">
        <v>24</v>
      </c>
      <c r="E106" s="6" t="n">
        <v>269</v>
      </c>
      <c r="F106" s="6" t="n">
        <v>474</v>
      </c>
      <c r="G106" s="7" t="n">
        <v>0.567510548523207</v>
      </c>
      <c r="H106" s="8"/>
      <c r="I106" s="8"/>
      <c r="J106" s="7" t="n">
        <v>0.432489451476793</v>
      </c>
    </row>
    <row r="107" customFormat="false" ht="15" hidden="false" customHeight="true" outlineLevel="0" collapsed="false">
      <c r="A107" s="4" t="s">
        <v>131</v>
      </c>
      <c r="B107" s="5" t="s">
        <v>111</v>
      </c>
      <c r="C107" s="5" t="s">
        <v>36</v>
      </c>
      <c r="D107" s="5" t="s">
        <v>26</v>
      </c>
      <c r="E107" s="6" t="n">
        <v>187</v>
      </c>
      <c r="F107" s="6" t="n">
        <v>269</v>
      </c>
      <c r="G107" s="7" t="n">
        <v>0.695167286245353</v>
      </c>
      <c r="H107" s="8" t="n">
        <v>247027</v>
      </c>
      <c r="I107" s="8" t="n">
        <v>1321</v>
      </c>
      <c r="J107" s="7" t="n">
        <v>0.304832713754647</v>
      </c>
    </row>
    <row r="108" customFormat="false" ht="15" hidden="false" customHeight="true" outlineLevel="0" collapsed="false">
      <c r="A108" s="4" t="s">
        <v>132</v>
      </c>
      <c r="B108" s="5" t="s">
        <v>111</v>
      </c>
      <c r="C108" s="5" t="s">
        <v>44</v>
      </c>
      <c r="D108" s="5" t="s">
        <v>14</v>
      </c>
      <c r="E108" s="6" t="n">
        <v>7207</v>
      </c>
      <c r="F108" s="6"/>
      <c r="G108" s="7"/>
      <c r="H108" s="8"/>
      <c r="I108" s="8"/>
      <c r="J108" s="7"/>
    </row>
    <row r="109" customFormat="false" ht="15" hidden="false" customHeight="true" outlineLevel="0" collapsed="false">
      <c r="A109" s="4" t="s">
        <v>133</v>
      </c>
      <c r="B109" s="5" t="s">
        <v>111</v>
      </c>
      <c r="C109" s="5" t="s">
        <v>44</v>
      </c>
      <c r="D109" s="5" t="s">
        <v>16</v>
      </c>
      <c r="E109" s="6" t="n">
        <v>3715</v>
      </c>
      <c r="F109" s="6" t="n">
        <v>7207</v>
      </c>
      <c r="G109" s="7" t="n">
        <v>0.515471069793257</v>
      </c>
      <c r="H109" s="8"/>
      <c r="I109" s="8"/>
      <c r="J109" s="7" t="n">
        <v>0.484528930206744</v>
      </c>
    </row>
    <row r="110" customFormat="false" ht="15" hidden="false" customHeight="true" outlineLevel="0" collapsed="false">
      <c r="A110" s="4" t="s">
        <v>134</v>
      </c>
      <c r="B110" s="5" t="s">
        <v>111</v>
      </c>
      <c r="C110" s="5" t="s">
        <v>44</v>
      </c>
      <c r="D110" s="5" t="s">
        <v>18</v>
      </c>
      <c r="E110" s="6" t="n">
        <v>1271</v>
      </c>
      <c r="F110" s="6" t="n">
        <v>3715</v>
      </c>
      <c r="G110" s="7" t="n">
        <v>0.342126514131898</v>
      </c>
      <c r="H110" s="8"/>
      <c r="I110" s="8"/>
      <c r="J110" s="7" t="n">
        <v>0.657873485868102</v>
      </c>
    </row>
    <row r="111" customFormat="false" ht="15" hidden="false" customHeight="true" outlineLevel="0" collapsed="false">
      <c r="A111" s="4" t="s">
        <v>135</v>
      </c>
      <c r="B111" s="5" t="s">
        <v>111</v>
      </c>
      <c r="C111" s="5" t="s">
        <v>44</v>
      </c>
      <c r="D111" s="5" t="s">
        <v>20</v>
      </c>
      <c r="E111" s="6" t="n">
        <v>907</v>
      </c>
      <c r="F111" s="6" t="n">
        <v>1271</v>
      </c>
      <c r="G111" s="7" t="n">
        <v>0.713611329661684</v>
      </c>
      <c r="H111" s="8"/>
      <c r="I111" s="8"/>
      <c r="J111" s="7" t="n">
        <v>0.286388670338316</v>
      </c>
    </row>
    <row r="112" customFormat="false" ht="15" hidden="false" customHeight="true" outlineLevel="0" collapsed="false">
      <c r="A112" s="4" t="s">
        <v>136</v>
      </c>
      <c r="B112" s="5" t="s">
        <v>111</v>
      </c>
      <c r="C112" s="5" t="s">
        <v>44</v>
      </c>
      <c r="D112" s="5" t="s">
        <v>22</v>
      </c>
      <c r="E112" s="6" t="n">
        <v>366</v>
      </c>
      <c r="F112" s="6" t="n">
        <v>907</v>
      </c>
      <c r="G112" s="7" t="n">
        <v>0.403528114663727</v>
      </c>
      <c r="H112" s="8"/>
      <c r="I112" s="8"/>
      <c r="J112" s="7" t="n">
        <v>0.596471885336273</v>
      </c>
    </row>
    <row r="113" customFormat="false" ht="15" hidden="false" customHeight="true" outlineLevel="0" collapsed="false">
      <c r="A113" s="4" t="s">
        <v>137</v>
      </c>
      <c r="B113" s="5" t="s">
        <v>111</v>
      </c>
      <c r="C113" s="5" t="s">
        <v>44</v>
      </c>
      <c r="D113" s="5" t="s">
        <v>24</v>
      </c>
      <c r="E113" s="6" t="n">
        <v>211</v>
      </c>
      <c r="F113" s="6" t="n">
        <v>366</v>
      </c>
      <c r="G113" s="7" t="n">
        <v>0.576502732240437</v>
      </c>
      <c r="H113" s="8"/>
      <c r="I113" s="8"/>
      <c r="J113" s="7" t="n">
        <v>0.423497267759563</v>
      </c>
    </row>
    <row r="114" customFormat="false" ht="15" hidden="false" customHeight="true" outlineLevel="0" collapsed="false">
      <c r="A114" s="4" t="s">
        <v>138</v>
      </c>
      <c r="B114" s="5" t="s">
        <v>111</v>
      </c>
      <c r="C114" s="5" t="s">
        <v>44</v>
      </c>
      <c r="D114" s="5" t="s">
        <v>26</v>
      </c>
      <c r="E114" s="6" t="n">
        <v>155</v>
      </c>
      <c r="F114" s="6" t="n">
        <v>211</v>
      </c>
      <c r="G114" s="7" t="n">
        <v>0.734597156398104</v>
      </c>
      <c r="H114" s="8" t="n">
        <v>671615</v>
      </c>
      <c r="I114" s="8" t="n">
        <v>4333</v>
      </c>
      <c r="J114" s="7" t="n">
        <v>0.265402843601896</v>
      </c>
    </row>
    <row r="115" customFormat="false" ht="15" hidden="false" customHeight="true" outlineLevel="0" collapsed="false">
      <c r="A115" s="4" t="s">
        <v>139</v>
      </c>
      <c r="B115" s="5" t="s">
        <v>111</v>
      </c>
      <c r="C115" s="5" t="s">
        <v>52</v>
      </c>
      <c r="D115" s="5" t="s">
        <v>14</v>
      </c>
      <c r="E115" s="6" t="n">
        <v>13136</v>
      </c>
      <c r="F115" s="6"/>
      <c r="G115" s="7"/>
      <c r="H115" s="8"/>
      <c r="I115" s="8"/>
      <c r="J115" s="7"/>
    </row>
    <row r="116" customFormat="false" ht="15" hidden="false" customHeight="true" outlineLevel="0" collapsed="false">
      <c r="A116" s="4" t="s">
        <v>140</v>
      </c>
      <c r="B116" s="5" t="s">
        <v>111</v>
      </c>
      <c r="C116" s="5" t="s">
        <v>52</v>
      </c>
      <c r="D116" s="5" t="s">
        <v>16</v>
      </c>
      <c r="E116" s="6" t="n">
        <v>7094</v>
      </c>
      <c r="F116" s="6" t="n">
        <v>13136</v>
      </c>
      <c r="G116" s="7" t="n">
        <v>0.540042630937881</v>
      </c>
      <c r="H116" s="8"/>
      <c r="I116" s="8"/>
      <c r="J116" s="7" t="n">
        <v>0.459957369062119</v>
      </c>
    </row>
    <row r="117" customFormat="false" ht="15" hidden="false" customHeight="true" outlineLevel="0" collapsed="false">
      <c r="A117" s="4" t="s">
        <v>141</v>
      </c>
      <c r="B117" s="5" t="s">
        <v>111</v>
      </c>
      <c r="C117" s="5" t="s">
        <v>52</v>
      </c>
      <c r="D117" s="5" t="s">
        <v>18</v>
      </c>
      <c r="E117" s="6" t="n">
        <v>2051</v>
      </c>
      <c r="F117" s="6" t="n">
        <v>7094</v>
      </c>
      <c r="G117" s="7" t="n">
        <v>0.289117564138709</v>
      </c>
      <c r="H117" s="8"/>
      <c r="I117" s="8"/>
      <c r="J117" s="7" t="n">
        <v>0.710882435861291</v>
      </c>
    </row>
    <row r="118" customFormat="false" ht="15" hidden="false" customHeight="true" outlineLevel="0" collapsed="false">
      <c r="A118" s="4" t="s">
        <v>142</v>
      </c>
      <c r="B118" s="5" t="s">
        <v>111</v>
      </c>
      <c r="C118" s="5" t="s">
        <v>52</v>
      </c>
      <c r="D118" s="5" t="s">
        <v>20</v>
      </c>
      <c r="E118" s="6" t="n">
        <v>1488</v>
      </c>
      <c r="F118" s="6" t="n">
        <v>2051</v>
      </c>
      <c r="G118" s="7" t="n">
        <v>0.72549975621648</v>
      </c>
      <c r="H118" s="8"/>
      <c r="I118" s="8"/>
      <c r="J118" s="7" t="n">
        <v>0.27450024378352</v>
      </c>
    </row>
    <row r="119" customFormat="false" ht="15" hidden="false" customHeight="true" outlineLevel="0" collapsed="false">
      <c r="A119" s="4" t="s">
        <v>143</v>
      </c>
      <c r="B119" s="5" t="s">
        <v>111</v>
      </c>
      <c r="C119" s="5" t="s">
        <v>52</v>
      </c>
      <c r="D119" s="5" t="s">
        <v>22</v>
      </c>
      <c r="E119" s="6" t="n">
        <v>638</v>
      </c>
      <c r="F119" s="6" t="n">
        <v>1488</v>
      </c>
      <c r="G119" s="7" t="n">
        <v>0.428763440860215</v>
      </c>
      <c r="H119" s="8"/>
      <c r="I119" s="8"/>
      <c r="J119" s="7" t="n">
        <v>0.571236559139785</v>
      </c>
    </row>
    <row r="120" customFormat="false" ht="15" hidden="false" customHeight="true" outlineLevel="0" collapsed="false">
      <c r="A120" s="4" t="s">
        <v>144</v>
      </c>
      <c r="B120" s="5" t="s">
        <v>111</v>
      </c>
      <c r="C120" s="5" t="s">
        <v>52</v>
      </c>
      <c r="D120" s="5" t="s">
        <v>24</v>
      </c>
      <c r="E120" s="6" t="n">
        <v>401</v>
      </c>
      <c r="F120" s="6" t="n">
        <v>638</v>
      </c>
      <c r="G120" s="7" t="n">
        <v>0.628526645768025</v>
      </c>
      <c r="H120" s="8"/>
      <c r="I120" s="8"/>
      <c r="J120" s="7" t="n">
        <v>0.371473354231975</v>
      </c>
    </row>
    <row r="121" customFormat="false" ht="15" hidden="false" customHeight="true" outlineLevel="0" collapsed="false">
      <c r="A121" s="4" t="s">
        <v>145</v>
      </c>
      <c r="B121" s="5" t="s">
        <v>111</v>
      </c>
      <c r="C121" s="5" t="s">
        <v>52</v>
      </c>
      <c r="D121" s="5" t="s">
        <v>26</v>
      </c>
      <c r="E121" s="6" t="n">
        <v>297</v>
      </c>
      <c r="F121" s="6" t="n">
        <v>401</v>
      </c>
      <c r="G121" s="7" t="n">
        <v>0.740648379052369</v>
      </c>
      <c r="H121" s="8" t="n">
        <v>1272051</v>
      </c>
      <c r="I121" s="8" t="n">
        <v>4283</v>
      </c>
      <c r="J121" s="7" t="n">
        <v>0.259351620947631</v>
      </c>
    </row>
    <row r="122" customFormat="false" ht="15" hidden="false" customHeight="true" outlineLevel="0" collapsed="false">
      <c r="A122" s="4" t="s">
        <v>146</v>
      </c>
      <c r="B122" s="5" t="s">
        <v>111</v>
      </c>
      <c r="C122" s="5" t="s">
        <v>60</v>
      </c>
      <c r="D122" s="5" t="s">
        <v>14</v>
      </c>
      <c r="E122" s="6" t="n">
        <v>6166</v>
      </c>
      <c r="F122" s="6"/>
      <c r="G122" s="7"/>
      <c r="H122" s="8"/>
      <c r="I122" s="8"/>
      <c r="J122" s="7"/>
    </row>
    <row r="123" customFormat="false" ht="15" hidden="false" customHeight="true" outlineLevel="0" collapsed="false">
      <c r="A123" s="4" t="s">
        <v>147</v>
      </c>
      <c r="B123" s="5" t="s">
        <v>111</v>
      </c>
      <c r="C123" s="5" t="s">
        <v>60</v>
      </c>
      <c r="D123" s="5" t="s">
        <v>16</v>
      </c>
      <c r="E123" s="6" t="n">
        <v>3562</v>
      </c>
      <c r="F123" s="6" t="n">
        <v>6166</v>
      </c>
      <c r="G123" s="7" t="n">
        <v>0.577684073953941</v>
      </c>
      <c r="H123" s="8"/>
      <c r="I123" s="8"/>
      <c r="J123" s="7" t="n">
        <v>0.422315926046059</v>
      </c>
    </row>
    <row r="124" customFormat="false" ht="15" hidden="false" customHeight="true" outlineLevel="0" collapsed="false">
      <c r="A124" s="4" t="s">
        <v>148</v>
      </c>
      <c r="B124" s="5" t="s">
        <v>111</v>
      </c>
      <c r="C124" s="5" t="s">
        <v>60</v>
      </c>
      <c r="D124" s="5" t="s">
        <v>18</v>
      </c>
      <c r="E124" s="6" t="n">
        <v>1161</v>
      </c>
      <c r="F124" s="6" t="n">
        <v>3562</v>
      </c>
      <c r="G124" s="7" t="n">
        <v>0.325940482874789</v>
      </c>
      <c r="H124" s="8"/>
      <c r="I124" s="8"/>
      <c r="J124" s="7" t="n">
        <v>0.674059517125211</v>
      </c>
    </row>
    <row r="125" customFormat="false" ht="15" hidden="false" customHeight="true" outlineLevel="0" collapsed="false">
      <c r="A125" s="4" t="s">
        <v>149</v>
      </c>
      <c r="B125" s="5" t="s">
        <v>111</v>
      </c>
      <c r="C125" s="5" t="s">
        <v>60</v>
      </c>
      <c r="D125" s="5" t="s">
        <v>20</v>
      </c>
      <c r="E125" s="6" t="n">
        <v>700</v>
      </c>
      <c r="F125" s="6" t="n">
        <v>1161</v>
      </c>
      <c r="G125" s="7" t="n">
        <v>0.602928509905254</v>
      </c>
      <c r="H125" s="8"/>
      <c r="I125" s="8"/>
      <c r="J125" s="7" t="n">
        <v>0.397071490094746</v>
      </c>
    </row>
    <row r="126" customFormat="false" ht="15" hidden="false" customHeight="true" outlineLevel="0" collapsed="false">
      <c r="A126" s="4" t="s">
        <v>150</v>
      </c>
      <c r="B126" s="5" t="s">
        <v>111</v>
      </c>
      <c r="C126" s="5" t="s">
        <v>60</v>
      </c>
      <c r="D126" s="5" t="s">
        <v>22</v>
      </c>
      <c r="E126" s="6" t="n">
        <v>307</v>
      </c>
      <c r="F126" s="6" t="n">
        <v>700</v>
      </c>
      <c r="G126" s="7" t="n">
        <v>0.438571428571429</v>
      </c>
      <c r="H126" s="8"/>
      <c r="I126" s="8"/>
      <c r="J126" s="7" t="n">
        <v>0.561428571428571</v>
      </c>
    </row>
    <row r="127" customFormat="false" ht="15" hidden="false" customHeight="true" outlineLevel="0" collapsed="false">
      <c r="A127" s="4" t="s">
        <v>151</v>
      </c>
      <c r="B127" s="5" t="s">
        <v>111</v>
      </c>
      <c r="C127" s="5" t="s">
        <v>60</v>
      </c>
      <c r="D127" s="5" t="s">
        <v>24</v>
      </c>
      <c r="E127" s="6" t="n">
        <v>198</v>
      </c>
      <c r="F127" s="6" t="n">
        <v>307</v>
      </c>
      <c r="G127" s="7" t="n">
        <v>0.644951140065147</v>
      </c>
      <c r="H127" s="8"/>
      <c r="I127" s="8"/>
      <c r="J127" s="7" t="n">
        <v>0.355048859934854</v>
      </c>
    </row>
    <row r="128" customFormat="false" ht="15" hidden="false" customHeight="true" outlineLevel="0" collapsed="false">
      <c r="A128" s="4" t="s">
        <v>152</v>
      </c>
      <c r="B128" s="5" t="s">
        <v>111</v>
      </c>
      <c r="C128" s="5" t="s">
        <v>60</v>
      </c>
      <c r="D128" s="5" t="s">
        <v>26</v>
      </c>
      <c r="E128" s="6" t="n">
        <v>147</v>
      </c>
      <c r="F128" s="6" t="n">
        <v>198</v>
      </c>
      <c r="G128" s="7" t="n">
        <v>0.742424242424242</v>
      </c>
      <c r="H128" s="8" t="n">
        <v>363384</v>
      </c>
      <c r="I128" s="8" t="n">
        <v>2472</v>
      </c>
      <c r="J128" s="7" t="n">
        <v>0.257575757575758</v>
      </c>
    </row>
    <row r="129" customFormat="false" ht="15" hidden="false" customHeight="true" outlineLevel="0" collapsed="false">
      <c r="A129" s="4" t="s">
        <v>153</v>
      </c>
      <c r="B129" s="5" t="s">
        <v>154</v>
      </c>
      <c r="C129" s="5" t="s">
        <v>13</v>
      </c>
      <c r="D129" s="5" t="s">
        <v>14</v>
      </c>
      <c r="E129" s="6" t="n">
        <v>8661</v>
      </c>
      <c r="F129" s="6"/>
      <c r="G129" s="7"/>
      <c r="H129" s="8"/>
      <c r="I129" s="8"/>
      <c r="J129" s="7"/>
    </row>
    <row r="130" customFormat="false" ht="15" hidden="false" customHeight="true" outlineLevel="0" collapsed="false">
      <c r="A130" s="4" t="s">
        <v>155</v>
      </c>
      <c r="B130" s="5" t="s">
        <v>154</v>
      </c>
      <c r="C130" s="5" t="s">
        <v>13</v>
      </c>
      <c r="D130" s="5" t="s">
        <v>16</v>
      </c>
      <c r="E130" s="6" t="n">
        <v>4054</v>
      </c>
      <c r="F130" s="6" t="n">
        <v>8661</v>
      </c>
      <c r="G130" s="7" t="n">
        <v>0.468075279990763</v>
      </c>
      <c r="H130" s="8"/>
      <c r="I130" s="8"/>
      <c r="J130" s="7" t="n">
        <v>0.531924720009237</v>
      </c>
    </row>
    <row r="131" customFormat="false" ht="15" hidden="false" customHeight="true" outlineLevel="0" collapsed="false">
      <c r="A131" s="4" t="s">
        <v>156</v>
      </c>
      <c r="B131" s="5" t="s">
        <v>154</v>
      </c>
      <c r="C131" s="5" t="s">
        <v>13</v>
      </c>
      <c r="D131" s="5" t="s">
        <v>18</v>
      </c>
      <c r="E131" s="6" t="n">
        <v>1216</v>
      </c>
      <c r="F131" s="6" t="n">
        <v>4054</v>
      </c>
      <c r="G131" s="7" t="n">
        <v>0.29995066600888</v>
      </c>
      <c r="H131" s="8"/>
      <c r="I131" s="8"/>
      <c r="J131" s="7" t="n">
        <v>0.70004933399112</v>
      </c>
    </row>
    <row r="132" customFormat="false" ht="15" hidden="false" customHeight="true" outlineLevel="0" collapsed="false">
      <c r="A132" s="4" t="s">
        <v>157</v>
      </c>
      <c r="B132" s="5" t="s">
        <v>154</v>
      </c>
      <c r="C132" s="5" t="s">
        <v>13</v>
      </c>
      <c r="D132" s="5" t="s">
        <v>20</v>
      </c>
      <c r="E132" s="6" t="n">
        <v>719</v>
      </c>
      <c r="F132" s="6" t="n">
        <v>1216</v>
      </c>
      <c r="G132" s="7" t="n">
        <v>0.591282894736842</v>
      </c>
      <c r="H132" s="8"/>
      <c r="I132" s="8"/>
      <c r="J132" s="7" t="n">
        <v>0.408717105263158</v>
      </c>
    </row>
    <row r="133" customFormat="false" ht="15" hidden="false" customHeight="true" outlineLevel="0" collapsed="false">
      <c r="A133" s="4" t="s">
        <v>158</v>
      </c>
      <c r="B133" s="5" t="s">
        <v>154</v>
      </c>
      <c r="C133" s="5" t="s">
        <v>13</v>
      </c>
      <c r="D133" s="5" t="s">
        <v>22</v>
      </c>
      <c r="E133" s="6" t="n">
        <v>325</v>
      </c>
      <c r="F133" s="6" t="n">
        <v>719</v>
      </c>
      <c r="G133" s="7" t="n">
        <v>0.45201668984701</v>
      </c>
      <c r="H133" s="8"/>
      <c r="I133" s="8"/>
      <c r="J133" s="7" t="n">
        <v>0.54798331015299</v>
      </c>
    </row>
    <row r="134" customFormat="false" ht="15" hidden="false" customHeight="true" outlineLevel="0" collapsed="false">
      <c r="A134" s="4" t="s">
        <v>159</v>
      </c>
      <c r="B134" s="5" t="s">
        <v>154</v>
      </c>
      <c r="C134" s="5" t="s">
        <v>13</v>
      </c>
      <c r="D134" s="5" t="s">
        <v>24</v>
      </c>
      <c r="E134" s="6" t="n">
        <v>221</v>
      </c>
      <c r="F134" s="6" t="n">
        <v>325</v>
      </c>
      <c r="G134" s="7" t="n">
        <v>0.68</v>
      </c>
      <c r="H134" s="8"/>
      <c r="I134" s="8"/>
      <c r="J134" s="7" t="n">
        <v>0.32</v>
      </c>
    </row>
    <row r="135" customFormat="false" ht="15" hidden="false" customHeight="true" outlineLevel="0" collapsed="false">
      <c r="A135" s="4" t="s">
        <v>160</v>
      </c>
      <c r="B135" s="5" t="s">
        <v>154</v>
      </c>
      <c r="C135" s="5" t="s">
        <v>13</v>
      </c>
      <c r="D135" s="5" t="s">
        <v>26</v>
      </c>
      <c r="E135" s="6" t="n">
        <v>176</v>
      </c>
      <c r="F135" s="6" t="n">
        <v>221</v>
      </c>
      <c r="G135" s="7" t="n">
        <v>0.796380090497738</v>
      </c>
      <c r="H135" s="8" t="n">
        <v>261360</v>
      </c>
      <c r="I135" s="8" t="n">
        <v>1485</v>
      </c>
      <c r="J135" s="7" t="n">
        <v>0.203619909502263</v>
      </c>
    </row>
    <row r="136" customFormat="false" ht="15" hidden="false" customHeight="true" outlineLevel="0" collapsed="false">
      <c r="A136" s="4" t="s">
        <v>161</v>
      </c>
      <c r="B136" s="5" t="s">
        <v>154</v>
      </c>
      <c r="C136" s="5" t="s">
        <v>28</v>
      </c>
      <c r="D136" s="5" t="s">
        <v>14</v>
      </c>
      <c r="E136" s="6" t="n">
        <v>11374</v>
      </c>
      <c r="F136" s="6"/>
      <c r="G136" s="7"/>
      <c r="H136" s="8"/>
      <c r="I136" s="8"/>
      <c r="J136" s="7"/>
    </row>
    <row r="137" customFormat="false" ht="15" hidden="false" customHeight="true" outlineLevel="0" collapsed="false">
      <c r="A137" s="4" t="s">
        <v>162</v>
      </c>
      <c r="B137" s="5" t="s">
        <v>154</v>
      </c>
      <c r="C137" s="5" t="s">
        <v>28</v>
      </c>
      <c r="D137" s="5" t="s">
        <v>16</v>
      </c>
      <c r="E137" s="6" t="n">
        <v>6150</v>
      </c>
      <c r="F137" s="6" t="n">
        <v>11374</v>
      </c>
      <c r="G137" s="7" t="n">
        <v>0.540706875329699</v>
      </c>
      <c r="H137" s="8"/>
      <c r="I137" s="8"/>
      <c r="J137" s="7" t="n">
        <v>0.459293124670301</v>
      </c>
    </row>
    <row r="138" customFormat="false" ht="15" hidden="false" customHeight="true" outlineLevel="0" collapsed="false">
      <c r="A138" s="4" t="s">
        <v>163</v>
      </c>
      <c r="B138" s="5" t="s">
        <v>154</v>
      </c>
      <c r="C138" s="5" t="s">
        <v>28</v>
      </c>
      <c r="D138" s="5" t="s">
        <v>18</v>
      </c>
      <c r="E138" s="6" t="n">
        <v>1681</v>
      </c>
      <c r="F138" s="6" t="n">
        <v>6150</v>
      </c>
      <c r="G138" s="7" t="n">
        <v>0.273333333333333</v>
      </c>
      <c r="H138" s="8"/>
      <c r="I138" s="8"/>
      <c r="J138" s="7" t="n">
        <v>0.726666666666667</v>
      </c>
    </row>
    <row r="139" customFormat="false" ht="15" hidden="false" customHeight="true" outlineLevel="0" collapsed="false">
      <c r="A139" s="4" t="s">
        <v>164</v>
      </c>
      <c r="B139" s="5" t="s">
        <v>154</v>
      </c>
      <c r="C139" s="5" t="s">
        <v>28</v>
      </c>
      <c r="D139" s="5" t="s">
        <v>20</v>
      </c>
      <c r="E139" s="6" t="n">
        <v>1174</v>
      </c>
      <c r="F139" s="6" t="n">
        <v>1681</v>
      </c>
      <c r="G139" s="7" t="n">
        <v>0.698393813206425</v>
      </c>
      <c r="H139" s="8"/>
      <c r="I139" s="8"/>
      <c r="J139" s="7" t="n">
        <v>0.301606186793575</v>
      </c>
    </row>
    <row r="140" customFormat="false" ht="15" hidden="false" customHeight="true" outlineLevel="0" collapsed="false">
      <c r="A140" s="4" t="s">
        <v>165</v>
      </c>
      <c r="B140" s="5" t="s">
        <v>154</v>
      </c>
      <c r="C140" s="5" t="s">
        <v>28</v>
      </c>
      <c r="D140" s="5" t="s">
        <v>22</v>
      </c>
      <c r="E140" s="6" t="n">
        <v>566</v>
      </c>
      <c r="F140" s="6" t="n">
        <v>1174</v>
      </c>
      <c r="G140" s="7" t="n">
        <v>0.482112436115843</v>
      </c>
      <c r="H140" s="8"/>
      <c r="I140" s="8"/>
      <c r="J140" s="7" t="n">
        <v>0.517887563884157</v>
      </c>
    </row>
    <row r="141" customFormat="false" ht="15" hidden="false" customHeight="true" outlineLevel="0" collapsed="false">
      <c r="A141" s="4" t="s">
        <v>166</v>
      </c>
      <c r="B141" s="5" t="s">
        <v>154</v>
      </c>
      <c r="C141" s="5" t="s">
        <v>28</v>
      </c>
      <c r="D141" s="5" t="s">
        <v>24</v>
      </c>
      <c r="E141" s="6" t="n">
        <v>336</v>
      </c>
      <c r="F141" s="6" t="n">
        <v>566</v>
      </c>
      <c r="G141" s="7" t="n">
        <v>0.593639575971731</v>
      </c>
      <c r="H141" s="8"/>
      <c r="I141" s="8"/>
      <c r="J141" s="7" t="n">
        <v>0.406360424028269</v>
      </c>
    </row>
    <row r="142" customFormat="false" ht="15" hidden="false" customHeight="true" outlineLevel="0" collapsed="false">
      <c r="A142" s="4" t="s">
        <v>167</v>
      </c>
      <c r="B142" s="5" t="s">
        <v>154</v>
      </c>
      <c r="C142" s="5" t="s">
        <v>28</v>
      </c>
      <c r="D142" s="5" t="s">
        <v>26</v>
      </c>
      <c r="E142" s="6" t="n">
        <v>237</v>
      </c>
      <c r="F142" s="6" t="n">
        <v>336</v>
      </c>
      <c r="G142" s="7" t="n">
        <v>0.705357142857143</v>
      </c>
      <c r="H142" s="8" t="n">
        <v>791106</v>
      </c>
      <c r="I142" s="8" t="n">
        <v>3338</v>
      </c>
      <c r="J142" s="7" t="n">
        <v>0.294642857142857</v>
      </c>
    </row>
    <row r="143" customFormat="false" ht="15" hidden="false" customHeight="true" outlineLevel="0" collapsed="false">
      <c r="A143" s="4" t="s">
        <v>168</v>
      </c>
      <c r="B143" s="5" t="s">
        <v>154</v>
      </c>
      <c r="C143" s="5" t="s">
        <v>36</v>
      </c>
      <c r="D143" s="5" t="s">
        <v>14</v>
      </c>
      <c r="E143" s="6" t="n">
        <v>13349</v>
      </c>
      <c r="F143" s="6"/>
      <c r="G143" s="7"/>
      <c r="H143" s="8"/>
      <c r="I143" s="8"/>
      <c r="J143" s="7"/>
    </row>
    <row r="144" customFormat="false" ht="15" hidden="false" customHeight="true" outlineLevel="0" collapsed="false">
      <c r="A144" s="4" t="s">
        <v>169</v>
      </c>
      <c r="B144" s="5" t="s">
        <v>154</v>
      </c>
      <c r="C144" s="5" t="s">
        <v>36</v>
      </c>
      <c r="D144" s="5" t="s">
        <v>16</v>
      </c>
      <c r="E144" s="6" t="n">
        <v>7575</v>
      </c>
      <c r="F144" s="6" t="n">
        <v>13349</v>
      </c>
      <c r="G144" s="7" t="n">
        <v>0.567458236572028</v>
      </c>
      <c r="H144" s="8"/>
      <c r="I144" s="8"/>
      <c r="J144" s="7" t="n">
        <v>0.432541763427972</v>
      </c>
    </row>
    <row r="145" customFormat="false" ht="15" hidden="false" customHeight="true" outlineLevel="0" collapsed="false">
      <c r="A145" s="4" t="s">
        <v>170</v>
      </c>
      <c r="B145" s="5" t="s">
        <v>154</v>
      </c>
      <c r="C145" s="5" t="s">
        <v>36</v>
      </c>
      <c r="D145" s="5" t="s">
        <v>18</v>
      </c>
      <c r="E145" s="6" t="n">
        <v>2127</v>
      </c>
      <c r="F145" s="6" t="n">
        <v>7575</v>
      </c>
      <c r="G145" s="7" t="n">
        <v>0.280792079207921</v>
      </c>
      <c r="H145" s="8"/>
      <c r="I145" s="8"/>
      <c r="J145" s="7" t="n">
        <v>0.719207920792079</v>
      </c>
    </row>
    <row r="146" customFormat="false" ht="15" hidden="false" customHeight="true" outlineLevel="0" collapsed="false">
      <c r="A146" s="4" t="s">
        <v>171</v>
      </c>
      <c r="B146" s="5" t="s">
        <v>154</v>
      </c>
      <c r="C146" s="5" t="s">
        <v>36</v>
      </c>
      <c r="D146" s="5" t="s">
        <v>20</v>
      </c>
      <c r="E146" s="6" t="n">
        <v>1481</v>
      </c>
      <c r="F146" s="6" t="n">
        <v>2127</v>
      </c>
      <c r="G146" s="7" t="n">
        <v>0.69628584861307</v>
      </c>
      <c r="H146" s="8"/>
      <c r="I146" s="8"/>
      <c r="J146" s="7" t="n">
        <v>0.30371415138693</v>
      </c>
    </row>
    <row r="147" customFormat="false" ht="15" hidden="false" customHeight="true" outlineLevel="0" collapsed="false">
      <c r="A147" s="4" t="s">
        <v>172</v>
      </c>
      <c r="B147" s="5" t="s">
        <v>154</v>
      </c>
      <c r="C147" s="5" t="s">
        <v>36</v>
      </c>
      <c r="D147" s="5" t="s">
        <v>22</v>
      </c>
      <c r="E147" s="6" t="n">
        <v>766</v>
      </c>
      <c r="F147" s="6" t="n">
        <v>1481</v>
      </c>
      <c r="G147" s="7" t="n">
        <v>0.517218095881161</v>
      </c>
      <c r="H147" s="8"/>
      <c r="I147" s="8"/>
      <c r="J147" s="7" t="n">
        <v>0.482781904118839</v>
      </c>
    </row>
    <row r="148" customFormat="false" ht="15" hidden="false" customHeight="true" outlineLevel="0" collapsed="false">
      <c r="A148" s="4" t="s">
        <v>173</v>
      </c>
      <c r="B148" s="5" t="s">
        <v>154</v>
      </c>
      <c r="C148" s="5" t="s">
        <v>36</v>
      </c>
      <c r="D148" s="5" t="s">
        <v>24</v>
      </c>
      <c r="E148" s="6" t="n">
        <v>501</v>
      </c>
      <c r="F148" s="6" t="n">
        <v>766</v>
      </c>
      <c r="G148" s="7" t="n">
        <v>0.654046997389034</v>
      </c>
      <c r="H148" s="8"/>
      <c r="I148" s="8"/>
      <c r="J148" s="7" t="n">
        <v>0.345953002610966</v>
      </c>
    </row>
    <row r="149" customFormat="false" ht="15" hidden="false" customHeight="true" outlineLevel="0" collapsed="false">
      <c r="A149" s="4" t="s">
        <v>174</v>
      </c>
      <c r="B149" s="5" t="s">
        <v>154</v>
      </c>
      <c r="C149" s="5" t="s">
        <v>36</v>
      </c>
      <c r="D149" s="5" t="s">
        <v>26</v>
      </c>
      <c r="E149" s="6" t="n">
        <v>306</v>
      </c>
      <c r="F149" s="6" t="n">
        <v>501</v>
      </c>
      <c r="G149" s="7" t="n">
        <v>0.610778443113773</v>
      </c>
      <c r="H149" s="8" t="n">
        <v>284580</v>
      </c>
      <c r="I149" s="8" t="n">
        <v>930</v>
      </c>
      <c r="J149" s="7" t="n">
        <v>0.389221556886228</v>
      </c>
    </row>
    <row r="150" customFormat="false" ht="15" hidden="false" customHeight="true" outlineLevel="0" collapsed="false">
      <c r="A150" s="4" t="s">
        <v>175</v>
      </c>
      <c r="B150" s="5" t="s">
        <v>154</v>
      </c>
      <c r="C150" s="5" t="s">
        <v>44</v>
      </c>
      <c r="D150" s="5" t="s">
        <v>14</v>
      </c>
      <c r="E150" s="6" t="n">
        <v>3955</v>
      </c>
      <c r="F150" s="6"/>
      <c r="G150" s="7"/>
      <c r="H150" s="8"/>
      <c r="I150" s="8"/>
      <c r="J150" s="7"/>
    </row>
    <row r="151" customFormat="false" ht="15" hidden="false" customHeight="true" outlineLevel="0" collapsed="false">
      <c r="A151" s="4" t="s">
        <v>176</v>
      </c>
      <c r="B151" s="5" t="s">
        <v>154</v>
      </c>
      <c r="C151" s="5" t="s">
        <v>44</v>
      </c>
      <c r="D151" s="5" t="s">
        <v>16</v>
      </c>
      <c r="E151" s="6" t="n">
        <v>2089</v>
      </c>
      <c r="F151" s="6" t="n">
        <v>3955</v>
      </c>
      <c r="G151" s="7" t="n">
        <v>0.528192161820481</v>
      </c>
      <c r="H151" s="8"/>
      <c r="I151" s="8"/>
      <c r="J151" s="7" t="n">
        <v>0.47180783817952</v>
      </c>
    </row>
    <row r="152" customFormat="false" ht="15" hidden="false" customHeight="true" outlineLevel="0" collapsed="false">
      <c r="A152" s="4" t="s">
        <v>177</v>
      </c>
      <c r="B152" s="5" t="s">
        <v>154</v>
      </c>
      <c r="C152" s="5" t="s">
        <v>44</v>
      </c>
      <c r="D152" s="5" t="s">
        <v>18</v>
      </c>
      <c r="E152" s="6" t="n">
        <v>637</v>
      </c>
      <c r="F152" s="6" t="n">
        <v>2089</v>
      </c>
      <c r="G152" s="7" t="n">
        <v>0.304930588798468</v>
      </c>
      <c r="H152" s="8"/>
      <c r="I152" s="8"/>
      <c r="J152" s="7" t="n">
        <v>0.695069411201532</v>
      </c>
    </row>
    <row r="153" customFormat="false" ht="15" hidden="false" customHeight="true" outlineLevel="0" collapsed="false">
      <c r="A153" s="4" t="s">
        <v>178</v>
      </c>
      <c r="B153" s="5" t="s">
        <v>154</v>
      </c>
      <c r="C153" s="5" t="s">
        <v>44</v>
      </c>
      <c r="D153" s="5" t="s">
        <v>20</v>
      </c>
      <c r="E153" s="6" t="n">
        <v>469</v>
      </c>
      <c r="F153" s="6" t="n">
        <v>637</v>
      </c>
      <c r="G153" s="7" t="n">
        <v>0.736263736263736</v>
      </c>
      <c r="H153" s="8"/>
      <c r="I153" s="8"/>
      <c r="J153" s="7" t="n">
        <v>0.263736263736264</v>
      </c>
    </row>
    <row r="154" customFormat="false" ht="15" hidden="false" customHeight="true" outlineLevel="0" collapsed="false">
      <c r="A154" s="4" t="s">
        <v>179</v>
      </c>
      <c r="B154" s="5" t="s">
        <v>154</v>
      </c>
      <c r="C154" s="5" t="s">
        <v>44</v>
      </c>
      <c r="D154" s="5" t="s">
        <v>22</v>
      </c>
      <c r="E154" s="6" t="n">
        <v>216</v>
      </c>
      <c r="F154" s="6" t="n">
        <v>469</v>
      </c>
      <c r="G154" s="7" t="n">
        <v>0.460554371002132</v>
      </c>
      <c r="H154" s="8"/>
      <c r="I154" s="8"/>
      <c r="J154" s="7" t="n">
        <v>0.539445628997868</v>
      </c>
    </row>
    <row r="155" customFormat="false" ht="15" hidden="false" customHeight="true" outlineLevel="0" collapsed="false">
      <c r="A155" s="4" t="s">
        <v>180</v>
      </c>
      <c r="B155" s="5" t="s">
        <v>154</v>
      </c>
      <c r="C155" s="5" t="s">
        <v>44</v>
      </c>
      <c r="D155" s="5" t="s">
        <v>24</v>
      </c>
      <c r="E155" s="6" t="n">
        <v>121</v>
      </c>
      <c r="F155" s="6" t="n">
        <v>216</v>
      </c>
      <c r="G155" s="7" t="n">
        <v>0.560185185185185</v>
      </c>
      <c r="H155" s="8"/>
      <c r="I155" s="8"/>
      <c r="J155" s="7" t="n">
        <v>0.439814814814815</v>
      </c>
    </row>
    <row r="156" customFormat="false" ht="15" hidden="false" customHeight="true" outlineLevel="0" collapsed="false">
      <c r="A156" s="4" t="s">
        <v>181</v>
      </c>
      <c r="B156" s="5" t="s">
        <v>154</v>
      </c>
      <c r="C156" s="5" t="s">
        <v>44</v>
      </c>
      <c r="D156" s="5" t="s">
        <v>26</v>
      </c>
      <c r="E156" s="6" t="n">
        <v>91</v>
      </c>
      <c r="F156" s="6" t="n">
        <v>121</v>
      </c>
      <c r="G156" s="7" t="n">
        <v>0.752066115702479</v>
      </c>
      <c r="H156" s="8" t="n">
        <v>394667</v>
      </c>
      <c r="I156" s="8" t="n">
        <v>4337</v>
      </c>
      <c r="J156" s="7" t="n">
        <v>0.247933884297521</v>
      </c>
    </row>
    <row r="157" customFormat="false" ht="15" hidden="false" customHeight="true" outlineLevel="0" collapsed="false">
      <c r="A157" s="4" t="s">
        <v>182</v>
      </c>
      <c r="B157" s="5" t="s">
        <v>154</v>
      </c>
      <c r="C157" s="5" t="s">
        <v>52</v>
      </c>
      <c r="D157" s="5" t="s">
        <v>14</v>
      </c>
      <c r="E157" s="6" t="n">
        <v>9466</v>
      </c>
      <c r="F157" s="6"/>
      <c r="G157" s="7"/>
      <c r="H157" s="8"/>
      <c r="I157" s="8"/>
      <c r="J157" s="7"/>
    </row>
    <row r="158" customFormat="false" ht="15" hidden="false" customHeight="true" outlineLevel="0" collapsed="false">
      <c r="A158" s="4" t="s">
        <v>183</v>
      </c>
      <c r="B158" s="5" t="s">
        <v>154</v>
      </c>
      <c r="C158" s="5" t="s">
        <v>52</v>
      </c>
      <c r="D158" s="5" t="s">
        <v>16</v>
      </c>
      <c r="E158" s="6" t="n">
        <v>4694</v>
      </c>
      <c r="F158" s="6" t="n">
        <v>9466</v>
      </c>
      <c r="G158" s="7" t="n">
        <v>0.495879991548701</v>
      </c>
      <c r="H158" s="8"/>
      <c r="I158" s="8"/>
      <c r="J158" s="7" t="n">
        <v>0.504120008451299</v>
      </c>
    </row>
    <row r="159" customFormat="false" ht="15" hidden="false" customHeight="true" outlineLevel="0" collapsed="false">
      <c r="A159" s="4" t="s">
        <v>184</v>
      </c>
      <c r="B159" s="5" t="s">
        <v>154</v>
      </c>
      <c r="C159" s="5" t="s">
        <v>52</v>
      </c>
      <c r="D159" s="5" t="s">
        <v>18</v>
      </c>
      <c r="E159" s="6" t="n">
        <v>1391</v>
      </c>
      <c r="F159" s="6" t="n">
        <v>4694</v>
      </c>
      <c r="G159" s="7" t="n">
        <v>0.296335747763102</v>
      </c>
      <c r="H159" s="8"/>
      <c r="I159" s="8"/>
      <c r="J159" s="7" t="n">
        <v>0.703664252236898</v>
      </c>
    </row>
    <row r="160" customFormat="false" ht="15" hidden="false" customHeight="true" outlineLevel="0" collapsed="false">
      <c r="A160" s="4" t="s">
        <v>185</v>
      </c>
      <c r="B160" s="5" t="s">
        <v>154</v>
      </c>
      <c r="C160" s="5" t="s">
        <v>52</v>
      </c>
      <c r="D160" s="5" t="s">
        <v>20</v>
      </c>
      <c r="E160" s="6" t="n">
        <v>803</v>
      </c>
      <c r="F160" s="6" t="n">
        <v>1391</v>
      </c>
      <c r="G160" s="7" t="n">
        <v>0.577282530553559</v>
      </c>
      <c r="H160" s="8"/>
      <c r="I160" s="8"/>
      <c r="J160" s="7" t="n">
        <v>0.422717469446441</v>
      </c>
    </row>
    <row r="161" customFormat="false" ht="15" hidden="false" customHeight="true" outlineLevel="0" collapsed="false">
      <c r="A161" s="4" t="s">
        <v>186</v>
      </c>
      <c r="B161" s="5" t="s">
        <v>154</v>
      </c>
      <c r="C161" s="5" t="s">
        <v>52</v>
      </c>
      <c r="D161" s="5" t="s">
        <v>22</v>
      </c>
      <c r="E161" s="6" t="n">
        <v>321</v>
      </c>
      <c r="F161" s="6" t="n">
        <v>803</v>
      </c>
      <c r="G161" s="7" t="n">
        <v>0.399750933997509</v>
      </c>
      <c r="H161" s="8"/>
      <c r="I161" s="8"/>
      <c r="J161" s="7" t="n">
        <v>0.600249066002491</v>
      </c>
    </row>
    <row r="162" customFormat="false" ht="15" hidden="false" customHeight="true" outlineLevel="0" collapsed="false">
      <c r="A162" s="4" t="s">
        <v>187</v>
      </c>
      <c r="B162" s="5" t="s">
        <v>154</v>
      </c>
      <c r="C162" s="5" t="s">
        <v>52</v>
      </c>
      <c r="D162" s="5" t="s">
        <v>24</v>
      </c>
      <c r="E162" s="6" t="n">
        <v>189</v>
      </c>
      <c r="F162" s="6" t="n">
        <v>321</v>
      </c>
      <c r="G162" s="7" t="n">
        <v>0.588785046728972</v>
      </c>
      <c r="H162" s="8"/>
      <c r="I162" s="8"/>
      <c r="J162" s="7" t="n">
        <v>0.411214953271028</v>
      </c>
    </row>
    <row r="163" customFormat="false" ht="15" hidden="false" customHeight="true" outlineLevel="0" collapsed="false">
      <c r="A163" s="4" t="s">
        <v>188</v>
      </c>
      <c r="B163" s="5" t="s">
        <v>154</v>
      </c>
      <c r="C163" s="5" t="s">
        <v>52</v>
      </c>
      <c r="D163" s="5" t="s">
        <v>26</v>
      </c>
      <c r="E163" s="6" t="n">
        <v>146</v>
      </c>
      <c r="F163" s="6" t="n">
        <v>189</v>
      </c>
      <c r="G163" s="7" t="n">
        <v>0.772486772486772</v>
      </c>
      <c r="H163" s="8" t="n">
        <v>536404</v>
      </c>
      <c r="I163" s="8" t="n">
        <v>3674</v>
      </c>
      <c r="J163" s="7" t="n">
        <v>0.227513227513228</v>
      </c>
    </row>
    <row r="164" customFormat="false" ht="15" hidden="false" customHeight="true" outlineLevel="0" collapsed="false">
      <c r="A164" s="4" t="s">
        <v>189</v>
      </c>
      <c r="B164" s="5" t="s">
        <v>154</v>
      </c>
      <c r="C164" s="5" t="s">
        <v>60</v>
      </c>
      <c r="D164" s="5" t="s">
        <v>14</v>
      </c>
      <c r="E164" s="6" t="n">
        <v>9373</v>
      </c>
      <c r="F164" s="6"/>
      <c r="G164" s="7"/>
      <c r="H164" s="8"/>
      <c r="I164" s="8"/>
      <c r="J164" s="7"/>
    </row>
    <row r="165" customFormat="false" ht="15" hidden="false" customHeight="true" outlineLevel="0" collapsed="false">
      <c r="A165" s="4" t="s">
        <v>190</v>
      </c>
      <c r="B165" s="5" t="s">
        <v>154</v>
      </c>
      <c r="C165" s="5" t="s">
        <v>60</v>
      </c>
      <c r="D165" s="5" t="s">
        <v>16</v>
      </c>
      <c r="E165" s="6" t="n">
        <v>5857</v>
      </c>
      <c r="F165" s="6" t="n">
        <v>9373</v>
      </c>
      <c r="G165" s="7" t="n">
        <v>0.624879974394538</v>
      </c>
      <c r="H165" s="8"/>
      <c r="I165" s="8"/>
      <c r="J165" s="7" t="n">
        <v>0.375120025605463</v>
      </c>
    </row>
    <row r="166" customFormat="false" ht="15" hidden="false" customHeight="true" outlineLevel="0" collapsed="false">
      <c r="A166" s="4" t="s">
        <v>191</v>
      </c>
      <c r="B166" s="5" t="s">
        <v>154</v>
      </c>
      <c r="C166" s="5" t="s">
        <v>60</v>
      </c>
      <c r="D166" s="5" t="s">
        <v>18</v>
      </c>
      <c r="E166" s="6" t="n">
        <v>1587</v>
      </c>
      <c r="F166" s="6" t="n">
        <v>5857</v>
      </c>
      <c r="G166" s="7" t="n">
        <v>0.270957828239713</v>
      </c>
      <c r="H166" s="8"/>
      <c r="I166" s="8"/>
      <c r="J166" s="7" t="n">
        <v>0.729042171760287</v>
      </c>
    </row>
    <row r="167" customFormat="false" ht="15" hidden="false" customHeight="true" outlineLevel="0" collapsed="false">
      <c r="A167" s="4" t="s">
        <v>192</v>
      </c>
      <c r="B167" s="5" t="s">
        <v>154</v>
      </c>
      <c r="C167" s="5" t="s">
        <v>60</v>
      </c>
      <c r="D167" s="5" t="s">
        <v>20</v>
      </c>
      <c r="E167" s="6" t="n">
        <v>954</v>
      </c>
      <c r="F167" s="6" t="n">
        <v>1587</v>
      </c>
      <c r="G167" s="7" t="n">
        <v>0.601134215500945</v>
      </c>
      <c r="H167" s="8"/>
      <c r="I167" s="8"/>
      <c r="J167" s="7" t="n">
        <v>0.398865784499055</v>
      </c>
    </row>
    <row r="168" customFormat="false" ht="15" hidden="false" customHeight="true" outlineLevel="0" collapsed="false">
      <c r="A168" s="4" t="s">
        <v>193</v>
      </c>
      <c r="B168" s="5" t="s">
        <v>154</v>
      </c>
      <c r="C168" s="5" t="s">
        <v>60</v>
      </c>
      <c r="D168" s="5" t="s">
        <v>22</v>
      </c>
      <c r="E168" s="6" t="n">
        <v>400</v>
      </c>
      <c r="F168" s="6" t="n">
        <v>954</v>
      </c>
      <c r="G168" s="7" t="n">
        <v>0.419287211740042</v>
      </c>
      <c r="H168" s="8"/>
      <c r="I168" s="8"/>
      <c r="J168" s="7" t="n">
        <v>0.580712788259958</v>
      </c>
    </row>
    <row r="169" customFormat="false" ht="15" hidden="false" customHeight="true" outlineLevel="0" collapsed="false">
      <c r="A169" s="4" t="s">
        <v>194</v>
      </c>
      <c r="B169" s="5" t="s">
        <v>154</v>
      </c>
      <c r="C169" s="5" t="s">
        <v>60</v>
      </c>
      <c r="D169" s="5" t="s">
        <v>24</v>
      </c>
      <c r="E169" s="6" t="n">
        <v>245</v>
      </c>
      <c r="F169" s="6" t="n">
        <v>400</v>
      </c>
      <c r="G169" s="7" t="n">
        <v>0.6125</v>
      </c>
      <c r="H169" s="8"/>
      <c r="I169" s="8"/>
      <c r="J169" s="7" t="n">
        <v>0.3875</v>
      </c>
    </row>
    <row r="170" customFormat="false" ht="15" hidden="false" customHeight="true" outlineLevel="0" collapsed="false">
      <c r="A170" s="4" t="s">
        <v>195</v>
      </c>
      <c r="B170" s="5" t="s">
        <v>154</v>
      </c>
      <c r="C170" s="5" t="s">
        <v>60</v>
      </c>
      <c r="D170" s="5" t="s">
        <v>26</v>
      </c>
      <c r="E170" s="6" t="n">
        <v>191</v>
      </c>
      <c r="F170" s="6" t="n">
        <v>245</v>
      </c>
      <c r="G170" s="7" t="n">
        <v>0.779591836734694</v>
      </c>
      <c r="H170" s="8" t="n">
        <v>452097</v>
      </c>
      <c r="I170" s="8" t="n">
        <v>2367</v>
      </c>
      <c r="J170" s="7" t="n">
        <v>0.220408163265306</v>
      </c>
    </row>
    <row r="171" customFormat="false" ht="15" hidden="false" customHeight="true" outlineLevel="0" collapsed="false">
      <c r="A171" s="4" t="s">
        <v>196</v>
      </c>
      <c r="B171" s="5" t="s">
        <v>197</v>
      </c>
      <c r="C171" s="5" t="s">
        <v>13</v>
      </c>
      <c r="D171" s="5" t="s">
        <v>14</v>
      </c>
      <c r="E171" s="6" t="n">
        <v>6009</v>
      </c>
      <c r="F171" s="6"/>
      <c r="G171" s="7"/>
      <c r="H171" s="8"/>
      <c r="I171" s="8"/>
      <c r="J171" s="7"/>
    </row>
    <row r="172" customFormat="false" ht="15" hidden="false" customHeight="true" outlineLevel="0" collapsed="false">
      <c r="A172" s="4" t="s">
        <v>198</v>
      </c>
      <c r="B172" s="5" t="s">
        <v>197</v>
      </c>
      <c r="C172" s="5" t="s">
        <v>13</v>
      </c>
      <c r="D172" s="5" t="s">
        <v>16</v>
      </c>
      <c r="E172" s="6" t="n">
        <v>3738</v>
      </c>
      <c r="F172" s="6" t="n">
        <v>6009</v>
      </c>
      <c r="G172" s="7" t="n">
        <v>0.622066899650524</v>
      </c>
      <c r="H172" s="8"/>
      <c r="I172" s="8"/>
      <c r="J172" s="7" t="n">
        <v>0.377933100349476</v>
      </c>
    </row>
    <row r="173" customFormat="false" ht="15" hidden="false" customHeight="true" outlineLevel="0" collapsed="false">
      <c r="A173" s="4" t="s">
        <v>199</v>
      </c>
      <c r="B173" s="5" t="s">
        <v>197</v>
      </c>
      <c r="C173" s="5" t="s">
        <v>13</v>
      </c>
      <c r="D173" s="5" t="s">
        <v>18</v>
      </c>
      <c r="E173" s="6" t="n">
        <v>1114</v>
      </c>
      <c r="F173" s="6" t="n">
        <v>3738</v>
      </c>
      <c r="G173" s="7" t="n">
        <v>0.298020331728197</v>
      </c>
      <c r="H173" s="8"/>
      <c r="I173" s="8"/>
      <c r="J173" s="7" t="n">
        <v>0.701979668271803</v>
      </c>
    </row>
    <row r="174" customFormat="false" ht="15" hidden="false" customHeight="true" outlineLevel="0" collapsed="false">
      <c r="A174" s="4" t="s">
        <v>200</v>
      </c>
      <c r="B174" s="5" t="s">
        <v>197</v>
      </c>
      <c r="C174" s="5" t="s">
        <v>13</v>
      </c>
      <c r="D174" s="5" t="s">
        <v>20</v>
      </c>
      <c r="E174" s="6" t="n">
        <v>809</v>
      </c>
      <c r="F174" s="6" t="n">
        <v>1114</v>
      </c>
      <c r="G174" s="7" t="n">
        <v>0.726211849192101</v>
      </c>
      <c r="H174" s="8"/>
      <c r="I174" s="8"/>
      <c r="J174" s="7" t="n">
        <v>0.273788150807899</v>
      </c>
    </row>
    <row r="175" customFormat="false" ht="15" hidden="false" customHeight="true" outlineLevel="0" collapsed="false">
      <c r="A175" s="4" t="s">
        <v>201</v>
      </c>
      <c r="B175" s="5" t="s">
        <v>197</v>
      </c>
      <c r="C175" s="5" t="s">
        <v>13</v>
      </c>
      <c r="D175" s="5" t="s">
        <v>22</v>
      </c>
      <c r="E175" s="6" t="n">
        <v>406</v>
      </c>
      <c r="F175" s="6" t="n">
        <v>809</v>
      </c>
      <c r="G175" s="7" t="n">
        <v>0.50185414091471</v>
      </c>
      <c r="H175" s="8"/>
      <c r="I175" s="8"/>
      <c r="J175" s="7" t="n">
        <v>0.498145859085291</v>
      </c>
    </row>
    <row r="176" customFormat="false" ht="15" hidden="false" customHeight="true" outlineLevel="0" collapsed="false">
      <c r="A176" s="4" t="s">
        <v>202</v>
      </c>
      <c r="B176" s="5" t="s">
        <v>197</v>
      </c>
      <c r="C176" s="5" t="s">
        <v>13</v>
      </c>
      <c r="D176" s="5" t="s">
        <v>24</v>
      </c>
      <c r="E176" s="6" t="n">
        <v>241</v>
      </c>
      <c r="F176" s="6" t="n">
        <v>406</v>
      </c>
      <c r="G176" s="7" t="n">
        <v>0.593596059113301</v>
      </c>
      <c r="H176" s="8"/>
      <c r="I176" s="8"/>
      <c r="J176" s="7" t="n">
        <v>0.4064039408867</v>
      </c>
    </row>
    <row r="177" customFormat="false" ht="15" hidden="false" customHeight="true" outlineLevel="0" collapsed="false">
      <c r="A177" s="4" t="s">
        <v>203</v>
      </c>
      <c r="B177" s="5" t="s">
        <v>197</v>
      </c>
      <c r="C177" s="5" t="s">
        <v>13</v>
      </c>
      <c r="D177" s="5" t="s">
        <v>26</v>
      </c>
      <c r="E177" s="6" t="n">
        <v>151</v>
      </c>
      <c r="F177" s="6" t="n">
        <v>241</v>
      </c>
      <c r="G177" s="7" t="n">
        <v>0.62655601659751</v>
      </c>
      <c r="H177" s="8" t="n">
        <v>167006</v>
      </c>
      <c r="I177" s="8" t="n">
        <v>1106</v>
      </c>
      <c r="J177" s="7" t="n">
        <v>0.37344398340249</v>
      </c>
    </row>
    <row r="178" customFormat="false" ht="15" hidden="false" customHeight="true" outlineLevel="0" collapsed="false">
      <c r="A178" s="4" t="s">
        <v>204</v>
      </c>
      <c r="B178" s="5" t="s">
        <v>197</v>
      </c>
      <c r="C178" s="5" t="s">
        <v>28</v>
      </c>
      <c r="D178" s="5" t="s">
        <v>14</v>
      </c>
      <c r="E178" s="6" t="n">
        <v>11710</v>
      </c>
      <c r="F178" s="6"/>
      <c r="G178" s="7"/>
      <c r="H178" s="8"/>
      <c r="I178" s="8"/>
      <c r="J178" s="7"/>
    </row>
    <row r="179" customFormat="false" ht="15" hidden="false" customHeight="true" outlineLevel="0" collapsed="false">
      <c r="A179" s="4" t="s">
        <v>205</v>
      </c>
      <c r="B179" s="5" t="s">
        <v>197</v>
      </c>
      <c r="C179" s="5" t="s">
        <v>28</v>
      </c>
      <c r="D179" s="5" t="s">
        <v>16</v>
      </c>
      <c r="E179" s="6" t="n">
        <v>6362</v>
      </c>
      <c r="F179" s="6" t="n">
        <v>11710</v>
      </c>
      <c r="G179" s="7" t="n">
        <v>0.543296327924851</v>
      </c>
      <c r="H179" s="8"/>
      <c r="I179" s="8"/>
      <c r="J179" s="7" t="n">
        <v>0.456703672075149</v>
      </c>
    </row>
    <row r="180" customFormat="false" ht="15" hidden="false" customHeight="true" outlineLevel="0" collapsed="false">
      <c r="A180" s="4" t="s">
        <v>206</v>
      </c>
      <c r="B180" s="5" t="s">
        <v>197</v>
      </c>
      <c r="C180" s="5" t="s">
        <v>28</v>
      </c>
      <c r="D180" s="5" t="s">
        <v>18</v>
      </c>
      <c r="E180" s="6" t="n">
        <v>1631</v>
      </c>
      <c r="F180" s="6" t="n">
        <v>6362</v>
      </c>
      <c r="G180" s="7" t="n">
        <v>0.256365922665828</v>
      </c>
      <c r="H180" s="8"/>
      <c r="I180" s="8"/>
      <c r="J180" s="7" t="n">
        <v>0.743634077334172</v>
      </c>
    </row>
    <row r="181" customFormat="false" ht="15" hidden="false" customHeight="true" outlineLevel="0" collapsed="false">
      <c r="A181" s="4" t="s">
        <v>207</v>
      </c>
      <c r="B181" s="5" t="s">
        <v>197</v>
      </c>
      <c r="C181" s="5" t="s">
        <v>28</v>
      </c>
      <c r="D181" s="5" t="s">
        <v>20</v>
      </c>
      <c r="E181" s="6" t="n">
        <v>1006</v>
      </c>
      <c r="F181" s="6" t="n">
        <v>1631</v>
      </c>
      <c r="G181" s="7" t="n">
        <v>0.616799509503372</v>
      </c>
      <c r="H181" s="8"/>
      <c r="I181" s="8"/>
      <c r="J181" s="7" t="n">
        <v>0.383200490496628</v>
      </c>
    </row>
    <row r="182" customFormat="false" ht="15" hidden="false" customHeight="true" outlineLevel="0" collapsed="false">
      <c r="A182" s="4" t="s">
        <v>208</v>
      </c>
      <c r="B182" s="5" t="s">
        <v>197</v>
      </c>
      <c r="C182" s="5" t="s">
        <v>28</v>
      </c>
      <c r="D182" s="5" t="s">
        <v>22</v>
      </c>
      <c r="E182" s="6" t="n">
        <v>451</v>
      </c>
      <c r="F182" s="6" t="n">
        <v>1006</v>
      </c>
      <c r="G182" s="7" t="n">
        <v>0.44831013916501</v>
      </c>
      <c r="H182" s="8"/>
      <c r="I182" s="8"/>
      <c r="J182" s="7" t="n">
        <v>0.55168986083499</v>
      </c>
    </row>
    <row r="183" customFormat="false" ht="15" hidden="false" customHeight="true" outlineLevel="0" collapsed="false">
      <c r="A183" s="4" t="s">
        <v>209</v>
      </c>
      <c r="B183" s="5" t="s">
        <v>197</v>
      </c>
      <c r="C183" s="5" t="s">
        <v>28</v>
      </c>
      <c r="D183" s="5" t="s">
        <v>24</v>
      </c>
      <c r="E183" s="6" t="n">
        <v>257</v>
      </c>
      <c r="F183" s="6" t="n">
        <v>451</v>
      </c>
      <c r="G183" s="7" t="n">
        <v>0.569844789356985</v>
      </c>
      <c r="H183" s="8"/>
      <c r="I183" s="8"/>
      <c r="J183" s="7" t="n">
        <v>0.430155210643016</v>
      </c>
    </row>
    <row r="184" customFormat="false" ht="15" hidden="false" customHeight="true" outlineLevel="0" collapsed="false">
      <c r="A184" s="4" t="s">
        <v>210</v>
      </c>
      <c r="B184" s="5" t="s">
        <v>197</v>
      </c>
      <c r="C184" s="5" t="s">
        <v>28</v>
      </c>
      <c r="D184" s="5" t="s">
        <v>26</v>
      </c>
      <c r="E184" s="6" t="n">
        <v>192</v>
      </c>
      <c r="F184" s="6" t="n">
        <v>257</v>
      </c>
      <c r="G184" s="7" t="n">
        <v>0.747081712062257</v>
      </c>
      <c r="H184" s="8" t="n">
        <v>601536</v>
      </c>
      <c r="I184" s="8" t="n">
        <v>3133</v>
      </c>
      <c r="J184" s="7" t="n">
        <v>0.252918287937743</v>
      </c>
    </row>
    <row r="185" customFormat="false" ht="15" hidden="false" customHeight="true" outlineLevel="0" collapsed="false">
      <c r="A185" s="4" t="s">
        <v>211</v>
      </c>
      <c r="B185" s="5" t="s">
        <v>197</v>
      </c>
      <c r="C185" s="5" t="s">
        <v>36</v>
      </c>
      <c r="D185" s="5" t="s">
        <v>14</v>
      </c>
      <c r="E185" s="6" t="n">
        <v>14151</v>
      </c>
      <c r="F185" s="6"/>
      <c r="G185" s="7"/>
      <c r="H185" s="8"/>
      <c r="I185" s="8"/>
      <c r="J185" s="7"/>
    </row>
    <row r="186" customFormat="false" ht="15" hidden="false" customHeight="true" outlineLevel="0" collapsed="false">
      <c r="A186" s="4" t="s">
        <v>212</v>
      </c>
      <c r="B186" s="5" t="s">
        <v>197</v>
      </c>
      <c r="C186" s="5" t="s">
        <v>36</v>
      </c>
      <c r="D186" s="5" t="s">
        <v>16</v>
      </c>
      <c r="E186" s="6" t="n">
        <v>8094</v>
      </c>
      <c r="F186" s="6" t="n">
        <v>14151</v>
      </c>
      <c r="G186" s="7" t="n">
        <v>0.571973712105152</v>
      </c>
      <c r="H186" s="8"/>
      <c r="I186" s="8"/>
      <c r="J186" s="7" t="n">
        <v>0.428026287894848</v>
      </c>
    </row>
    <row r="187" customFormat="false" ht="15" hidden="false" customHeight="true" outlineLevel="0" collapsed="false">
      <c r="A187" s="4" t="s">
        <v>213</v>
      </c>
      <c r="B187" s="5" t="s">
        <v>197</v>
      </c>
      <c r="C187" s="5" t="s">
        <v>36</v>
      </c>
      <c r="D187" s="5" t="s">
        <v>18</v>
      </c>
      <c r="E187" s="6" t="n">
        <v>2488</v>
      </c>
      <c r="F187" s="6" t="n">
        <v>8094</v>
      </c>
      <c r="G187" s="7" t="n">
        <v>0.307388188781814</v>
      </c>
      <c r="H187" s="8"/>
      <c r="I187" s="8"/>
      <c r="J187" s="7" t="n">
        <v>0.692611811218186</v>
      </c>
    </row>
    <row r="188" customFormat="false" ht="15" hidden="false" customHeight="true" outlineLevel="0" collapsed="false">
      <c r="A188" s="4" t="s">
        <v>214</v>
      </c>
      <c r="B188" s="5" t="s">
        <v>197</v>
      </c>
      <c r="C188" s="5" t="s">
        <v>36</v>
      </c>
      <c r="D188" s="5" t="s">
        <v>20</v>
      </c>
      <c r="E188" s="6" t="n">
        <v>1575</v>
      </c>
      <c r="F188" s="6" t="n">
        <v>2488</v>
      </c>
      <c r="G188" s="7" t="n">
        <v>0.633038585209003</v>
      </c>
      <c r="H188" s="8"/>
      <c r="I188" s="8"/>
      <c r="J188" s="7" t="n">
        <v>0.366961414790997</v>
      </c>
    </row>
    <row r="189" customFormat="false" ht="15" hidden="false" customHeight="true" outlineLevel="0" collapsed="false">
      <c r="A189" s="4" t="s">
        <v>215</v>
      </c>
      <c r="B189" s="5" t="s">
        <v>197</v>
      </c>
      <c r="C189" s="5" t="s">
        <v>36</v>
      </c>
      <c r="D189" s="5" t="s">
        <v>22</v>
      </c>
      <c r="E189" s="6" t="n">
        <v>637</v>
      </c>
      <c r="F189" s="6" t="n">
        <v>1575</v>
      </c>
      <c r="G189" s="7" t="n">
        <v>0.404444444444444</v>
      </c>
      <c r="H189" s="8"/>
      <c r="I189" s="8"/>
      <c r="J189" s="7" t="n">
        <v>0.595555555555556</v>
      </c>
    </row>
    <row r="190" customFormat="false" ht="15" hidden="false" customHeight="true" outlineLevel="0" collapsed="false">
      <c r="A190" s="4" t="s">
        <v>216</v>
      </c>
      <c r="B190" s="5" t="s">
        <v>197</v>
      </c>
      <c r="C190" s="5" t="s">
        <v>36</v>
      </c>
      <c r="D190" s="5" t="s">
        <v>24</v>
      </c>
      <c r="E190" s="6" t="n">
        <v>392</v>
      </c>
      <c r="F190" s="6" t="n">
        <v>637</v>
      </c>
      <c r="G190" s="7" t="n">
        <v>0.615384615384615</v>
      </c>
      <c r="H190" s="8"/>
      <c r="I190" s="8"/>
      <c r="J190" s="7" t="n">
        <v>0.384615384615385</v>
      </c>
    </row>
    <row r="191" customFormat="false" ht="15" hidden="false" customHeight="true" outlineLevel="0" collapsed="false">
      <c r="A191" s="4" t="s">
        <v>217</v>
      </c>
      <c r="B191" s="5" t="s">
        <v>197</v>
      </c>
      <c r="C191" s="5" t="s">
        <v>36</v>
      </c>
      <c r="D191" s="5" t="s">
        <v>26</v>
      </c>
      <c r="E191" s="6" t="n">
        <v>237</v>
      </c>
      <c r="F191" s="6" t="n">
        <v>392</v>
      </c>
      <c r="G191" s="7" t="n">
        <v>0.604591836734694</v>
      </c>
      <c r="H191" s="8" t="n">
        <v>224676</v>
      </c>
      <c r="I191" s="8" t="n">
        <v>948</v>
      </c>
      <c r="J191" s="7" t="n">
        <v>0.395408163265306</v>
      </c>
    </row>
    <row r="192" customFormat="false" ht="15" hidden="false" customHeight="true" outlineLevel="0" collapsed="false">
      <c r="A192" s="4" t="s">
        <v>218</v>
      </c>
      <c r="B192" s="5" t="s">
        <v>197</v>
      </c>
      <c r="C192" s="5" t="s">
        <v>44</v>
      </c>
      <c r="D192" s="5" t="s">
        <v>14</v>
      </c>
      <c r="E192" s="6" t="n">
        <v>3782</v>
      </c>
      <c r="F192" s="6"/>
      <c r="G192" s="7"/>
      <c r="H192" s="8"/>
      <c r="I192" s="8"/>
      <c r="J192" s="7"/>
    </row>
    <row r="193" customFormat="false" ht="15" hidden="false" customHeight="true" outlineLevel="0" collapsed="false">
      <c r="A193" s="4" t="s">
        <v>219</v>
      </c>
      <c r="B193" s="5" t="s">
        <v>197</v>
      </c>
      <c r="C193" s="5" t="s">
        <v>44</v>
      </c>
      <c r="D193" s="5" t="s">
        <v>16</v>
      </c>
      <c r="E193" s="6" t="n">
        <v>1911</v>
      </c>
      <c r="F193" s="6" t="n">
        <v>3782</v>
      </c>
      <c r="G193" s="7" t="n">
        <v>0.505288207297726</v>
      </c>
      <c r="H193" s="8"/>
      <c r="I193" s="8"/>
      <c r="J193" s="7" t="n">
        <v>0.494711792702274</v>
      </c>
    </row>
    <row r="194" customFormat="false" ht="15" hidden="false" customHeight="true" outlineLevel="0" collapsed="false">
      <c r="A194" s="4" t="s">
        <v>220</v>
      </c>
      <c r="B194" s="5" t="s">
        <v>197</v>
      </c>
      <c r="C194" s="5" t="s">
        <v>44</v>
      </c>
      <c r="D194" s="5" t="s">
        <v>18</v>
      </c>
      <c r="E194" s="6" t="n">
        <v>617</v>
      </c>
      <c r="F194" s="6" t="n">
        <v>1911</v>
      </c>
      <c r="G194" s="7" t="n">
        <v>0.322867608581894</v>
      </c>
      <c r="H194" s="8"/>
      <c r="I194" s="8"/>
      <c r="J194" s="7" t="n">
        <v>0.677132391418106</v>
      </c>
    </row>
    <row r="195" customFormat="false" ht="15" hidden="false" customHeight="true" outlineLevel="0" collapsed="false">
      <c r="A195" s="4" t="s">
        <v>221</v>
      </c>
      <c r="B195" s="5" t="s">
        <v>197</v>
      </c>
      <c r="C195" s="5" t="s">
        <v>44</v>
      </c>
      <c r="D195" s="5" t="s">
        <v>20</v>
      </c>
      <c r="E195" s="6" t="n">
        <v>359</v>
      </c>
      <c r="F195" s="6" t="n">
        <v>617</v>
      </c>
      <c r="G195" s="7" t="n">
        <v>0.581847649918963</v>
      </c>
      <c r="H195" s="8"/>
      <c r="I195" s="8"/>
      <c r="J195" s="7" t="n">
        <v>0.418152350081037</v>
      </c>
    </row>
    <row r="196" customFormat="false" ht="15" hidden="false" customHeight="true" outlineLevel="0" collapsed="false">
      <c r="A196" s="4" t="s">
        <v>222</v>
      </c>
      <c r="B196" s="5" t="s">
        <v>197</v>
      </c>
      <c r="C196" s="5" t="s">
        <v>44</v>
      </c>
      <c r="D196" s="5" t="s">
        <v>22</v>
      </c>
      <c r="E196" s="6" t="n">
        <v>158</v>
      </c>
      <c r="F196" s="6" t="n">
        <v>359</v>
      </c>
      <c r="G196" s="7" t="n">
        <v>0.440111420612813</v>
      </c>
      <c r="H196" s="8"/>
      <c r="I196" s="8"/>
      <c r="J196" s="7" t="n">
        <v>0.559888579387187</v>
      </c>
    </row>
    <row r="197" customFormat="false" ht="15" hidden="false" customHeight="true" outlineLevel="0" collapsed="false">
      <c r="A197" s="4" t="s">
        <v>223</v>
      </c>
      <c r="B197" s="5" t="s">
        <v>197</v>
      </c>
      <c r="C197" s="5" t="s">
        <v>44</v>
      </c>
      <c r="D197" s="5" t="s">
        <v>24</v>
      </c>
      <c r="E197" s="6" t="n">
        <v>100</v>
      </c>
      <c r="F197" s="6" t="n">
        <v>158</v>
      </c>
      <c r="G197" s="7" t="n">
        <v>0.632911392405063</v>
      </c>
      <c r="H197" s="8"/>
      <c r="I197" s="8"/>
      <c r="J197" s="7" t="n">
        <v>0.367088607594937</v>
      </c>
    </row>
    <row r="198" customFormat="false" ht="15" hidden="false" customHeight="true" outlineLevel="0" collapsed="false">
      <c r="A198" s="4" t="s">
        <v>224</v>
      </c>
      <c r="B198" s="5" t="s">
        <v>197</v>
      </c>
      <c r="C198" s="5" t="s">
        <v>44</v>
      </c>
      <c r="D198" s="5" t="s">
        <v>26</v>
      </c>
      <c r="E198" s="6" t="n">
        <v>68</v>
      </c>
      <c r="F198" s="6" t="n">
        <v>100</v>
      </c>
      <c r="G198" s="7" t="n">
        <v>0.68</v>
      </c>
      <c r="H198" s="8" t="n">
        <v>278664</v>
      </c>
      <c r="I198" s="8" t="n">
        <v>4098</v>
      </c>
      <c r="J198" s="7" t="n">
        <v>0.32</v>
      </c>
    </row>
    <row r="199" customFormat="false" ht="15" hidden="false" customHeight="true" outlineLevel="0" collapsed="false">
      <c r="A199" s="4" t="s">
        <v>225</v>
      </c>
      <c r="B199" s="5" t="s">
        <v>197</v>
      </c>
      <c r="C199" s="5" t="s">
        <v>52</v>
      </c>
      <c r="D199" s="5" t="s">
        <v>14</v>
      </c>
      <c r="E199" s="6" t="n">
        <v>6088</v>
      </c>
      <c r="F199" s="6"/>
      <c r="G199" s="7"/>
      <c r="H199" s="8"/>
      <c r="I199" s="8"/>
      <c r="J199" s="7"/>
    </row>
    <row r="200" customFormat="false" ht="15" hidden="false" customHeight="true" outlineLevel="0" collapsed="false">
      <c r="A200" s="4" t="s">
        <v>226</v>
      </c>
      <c r="B200" s="5" t="s">
        <v>197</v>
      </c>
      <c r="C200" s="5" t="s">
        <v>52</v>
      </c>
      <c r="D200" s="5" t="s">
        <v>16</v>
      </c>
      <c r="E200" s="6" t="n">
        <v>3018</v>
      </c>
      <c r="F200" s="6" t="n">
        <v>6088</v>
      </c>
      <c r="G200" s="7" t="n">
        <v>0.495729303547963</v>
      </c>
      <c r="H200" s="8"/>
      <c r="I200" s="8"/>
      <c r="J200" s="7" t="n">
        <v>0.504270696452037</v>
      </c>
    </row>
    <row r="201" customFormat="false" ht="15" hidden="false" customHeight="true" outlineLevel="0" collapsed="false">
      <c r="A201" s="4" t="s">
        <v>227</v>
      </c>
      <c r="B201" s="5" t="s">
        <v>197</v>
      </c>
      <c r="C201" s="5" t="s">
        <v>52</v>
      </c>
      <c r="D201" s="5" t="s">
        <v>18</v>
      </c>
      <c r="E201" s="6" t="n">
        <v>844</v>
      </c>
      <c r="F201" s="6" t="n">
        <v>3018</v>
      </c>
      <c r="G201" s="7" t="n">
        <v>0.279655400927767</v>
      </c>
      <c r="H201" s="8"/>
      <c r="I201" s="8"/>
      <c r="J201" s="7" t="n">
        <v>0.720344599072233</v>
      </c>
    </row>
    <row r="202" customFormat="false" ht="15" hidden="false" customHeight="true" outlineLevel="0" collapsed="false">
      <c r="A202" s="4" t="s">
        <v>228</v>
      </c>
      <c r="B202" s="5" t="s">
        <v>197</v>
      </c>
      <c r="C202" s="5" t="s">
        <v>52</v>
      </c>
      <c r="D202" s="5" t="s">
        <v>20</v>
      </c>
      <c r="E202" s="6" t="n">
        <v>526</v>
      </c>
      <c r="F202" s="6" t="n">
        <v>844</v>
      </c>
      <c r="G202" s="7" t="n">
        <v>0.623222748815166</v>
      </c>
      <c r="H202" s="8"/>
      <c r="I202" s="8"/>
      <c r="J202" s="7" t="n">
        <v>0.376777251184834</v>
      </c>
    </row>
    <row r="203" customFormat="false" ht="15" hidden="false" customHeight="true" outlineLevel="0" collapsed="false">
      <c r="A203" s="4" t="s">
        <v>229</v>
      </c>
      <c r="B203" s="5" t="s">
        <v>197</v>
      </c>
      <c r="C203" s="5" t="s">
        <v>52</v>
      </c>
      <c r="D203" s="5" t="s">
        <v>22</v>
      </c>
      <c r="E203" s="6" t="n">
        <v>240</v>
      </c>
      <c r="F203" s="6" t="n">
        <v>526</v>
      </c>
      <c r="G203" s="7" t="n">
        <v>0.456273764258555</v>
      </c>
      <c r="H203" s="8"/>
      <c r="I203" s="8"/>
      <c r="J203" s="7" t="n">
        <v>0.543726235741445</v>
      </c>
    </row>
    <row r="204" customFormat="false" ht="15" hidden="false" customHeight="true" outlineLevel="0" collapsed="false">
      <c r="A204" s="4" t="s">
        <v>230</v>
      </c>
      <c r="B204" s="5" t="s">
        <v>197</v>
      </c>
      <c r="C204" s="5" t="s">
        <v>52</v>
      </c>
      <c r="D204" s="5" t="s">
        <v>24</v>
      </c>
      <c r="E204" s="6" t="n">
        <v>130</v>
      </c>
      <c r="F204" s="6" t="n">
        <v>240</v>
      </c>
      <c r="G204" s="7" t="n">
        <v>0.541666666666667</v>
      </c>
      <c r="H204" s="8"/>
      <c r="I204" s="8"/>
      <c r="J204" s="7" t="n">
        <v>0.458333333333333</v>
      </c>
    </row>
    <row r="205" customFormat="false" ht="15" hidden="false" customHeight="true" outlineLevel="0" collapsed="false">
      <c r="A205" s="4" t="s">
        <v>231</v>
      </c>
      <c r="B205" s="5" t="s">
        <v>197</v>
      </c>
      <c r="C205" s="5" t="s">
        <v>52</v>
      </c>
      <c r="D205" s="5" t="s">
        <v>26</v>
      </c>
      <c r="E205" s="6" t="n">
        <v>92</v>
      </c>
      <c r="F205" s="6" t="n">
        <v>130</v>
      </c>
      <c r="G205" s="7" t="n">
        <v>0.707692307692308</v>
      </c>
      <c r="H205" s="8" t="n">
        <v>338008</v>
      </c>
      <c r="I205" s="8" t="n">
        <v>3674</v>
      </c>
      <c r="J205" s="7" t="n">
        <v>0.292307692307692</v>
      </c>
    </row>
    <row r="206" customFormat="false" ht="15" hidden="false" customHeight="true" outlineLevel="0" collapsed="false">
      <c r="A206" s="4" t="s">
        <v>232</v>
      </c>
      <c r="B206" s="5" t="s">
        <v>197</v>
      </c>
      <c r="C206" s="5" t="s">
        <v>60</v>
      </c>
      <c r="D206" s="5" t="s">
        <v>14</v>
      </c>
      <c r="E206" s="6" t="n">
        <v>8794</v>
      </c>
      <c r="F206" s="6"/>
      <c r="G206" s="7"/>
      <c r="H206" s="8"/>
      <c r="I206" s="8"/>
      <c r="J206" s="7"/>
    </row>
    <row r="207" customFormat="false" ht="15" hidden="false" customHeight="true" outlineLevel="0" collapsed="false">
      <c r="A207" s="4" t="s">
        <v>233</v>
      </c>
      <c r="B207" s="5" t="s">
        <v>197</v>
      </c>
      <c r="C207" s="5" t="s">
        <v>60</v>
      </c>
      <c r="D207" s="5" t="s">
        <v>16</v>
      </c>
      <c r="E207" s="6" t="n">
        <v>5294</v>
      </c>
      <c r="F207" s="6" t="n">
        <v>8794</v>
      </c>
      <c r="G207" s="7" t="n">
        <v>0.60200136456675</v>
      </c>
      <c r="H207" s="8"/>
      <c r="I207" s="8"/>
      <c r="J207" s="7" t="n">
        <v>0.39799863543325</v>
      </c>
    </row>
    <row r="208" customFormat="false" ht="15" hidden="false" customHeight="true" outlineLevel="0" collapsed="false">
      <c r="A208" s="4" t="s">
        <v>234</v>
      </c>
      <c r="B208" s="5" t="s">
        <v>197</v>
      </c>
      <c r="C208" s="5" t="s">
        <v>60</v>
      </c>
      <c r="D208" s="5" t="s">
        <v>18</v>
      </c>
      <c r="E208" s="6" t="n">
        <v>1388</v>
      </c>
      <c r="F208" s="6" t="n">
        <v>5294</v>
      </c>
      <c r="G208" s="7" t="n">
        <v>0.262183604080091</v>
      </c>
      <c r="H208" s="8"/>
      <c r="I208" s="8"/>
      <c r="J208" s="7" t="n">
        <v>0.737816395919909</v>
      </c>
    </row>
    <row r="209" customFormat="false" ht="15" hidden="false" customHeight="true" outlineLevel="0" collapsed="false">
      <c r="A209" s="4" t="s">
        <v>235</v>
      </c>
      <c r="B209" s="5" t="s">
        <v>197</v>
      </c>
      <c r="C209" s="5" t="s">
        <v>60</v>
      </c>
      <c r="D209" s="5" t="s">
        <v>20</v>
      </c>
      <c r="E209" s="6" t="n">
        <v>950</v>
      </c>
      <c r="F209" s="6" t="n">
        <v>1388</v>
      </c>
      <c r="G209" s="7" t="n">
        <v>0.684438040345821</v>
      </c>
      <c r="H209" s="8"/>
      <c r="I209" s="8"/>
      <c r="J209" s="7" t="n">
        <v>0.315561959654179</v>
      </c>
    </row>
    <row r="210" customFormat="false" ht="15" hidden="false" customHeight="true" outlineLevel="0" collapsed="false">
      <c r="A210" s="4" t="s">
        <v>236</v>
      </c>
      <c r="B210" s="5" t="s">
        <v>197</v>
      </c>
      <c r="C210" s="5" t="s">
        <v>60</v>
      </c>
      <c r="D210" s="5" t="s">
        <v>22</v>
      </c>
      <c r="E210" s="6" t="n">
        <v>456</v>
      </c>
      <c r="F210" s="6" t="n">
        <v>950</v>
      </c>
      <c r="G210" s="7" t="n">
        <v>0.48</v>
      </c>
      <c r="H210" s="8"/>
      <c r="I210" s="8"/>
      <c r="J210" s="7" t="n">
        <v>0.52</v>
      </c>
    </row>
    <row r="211" customFormat="false" ht="15" hidden="false" customHeight="true" outlineLevel="0" collapsed="false">
      <c r="A211" s="4" t="s">
        <v>237</v>
      </c>
      <c r="B211" s="5" t="s">
        <v>197</v>
      </c>
      <c r="C211" s="5" t="s">
        <v>60</v>
      </c>
      <c r="D211" s="5" t="s">
        <v>24</v>
      </c>
      <c r="E211" s="6" t="n">
        <v>300</v>
      </c>
      <c r="F211" s="6" t="n">
        <v>456</v>
      </c>
      <c r="G211" s="7" t="n">
        <v>0.657894736842105</v>
      </c>
      <c r="H211" s="8"/>
      <c r="I211" s="8"/>
      <c r="J211" s="7" t="n">
        <v>0.342105263157895</v>
      </c>
    </row>
    <row r="212" customFormat="false" ht="15" hidden="false" customHeight="true" outlineLevel="0" collapsed="false">
      <c r="A212" s="4" t="s">
        <v>238</v>
      </c>
      <c r="B212" s="5" t="s">
        <v>197</v>
      </c>
      <c r="C212" s="5" t="s">
        <v>60</v>
      </c>
      <c r="D212" s="5" t="s">
        <v>26</v>
      </c>
      <c r="E212" s="6" t="n">
        <v>187</v>
      </c>
      <c r="F212" s="6" t="n">
        <v>300</v>
      </c>
      <c r="G212" s="7" t="n">
        <v>0.623333333333333</v>
      </c>
      <c r="H212" s="8" t="n">
        <v>215798</v>
      </c>
      <c r="I212" s="8" t="n">
        <v>1154</v>
      </c>
      <c r="J212" s="7" t="n">
        <v>0.376666666666667</v>
      </c>
    </row>
    <row r="213" customFormat="false" ht="15" hidden="false" customHeight="true" outlineLevel="0" collapsed="false">
      <c r="A213" s="4" t="s">
        <v>239</v>
      </c>
      <c r="B213" s="5" t="s">
        <v>240</v>
      </c>
      <c r="C213" s="5" t="s">
        <v>13</v>
      </c>
      <c r="D213" s="5" t="s">
        <v>14</v>
      </c>
      <c r="E213" s="6" t="n">
        <v>3542</v>
      </c>
      <c r="F213" s="6"/>
      <c r="G213" s="7"/>
      <c r="H213" s="8"/>
      <c r="I213" s="8"/>
      <c r="J213" s="7"/>
    </row>
    <row r="214" customFormat="false" ht="15" hidden="false" customHeight="true" outlineLevel="0" collapsed="false">
      <c r="A214" s="4" t="s">
        <v>241</v>
      </c>
      <c r="B214" s="5" t="s">
        <v>240</v>
      </c>
      <c r="C214" s="5" t="s">
        <v>13</v>
      </c>
      <c r="D214" s="5" t="s">
        <v>16</v>
      </c>
      <c r="E214" s="6" t="n">
        <v>2033</v>
      </c>
      <c r="F214" s="6" t="n">
        <v>3542</v>
      </c>
      <c r="G214" s="7" t="n">
        <v>0.573969508752118</v>
      </c>
      <c r="H214" s="8"/>
      <c r="I214" s="8"/>
      <c r="J214" s="7" t="n">
        <v>0.426030491247883</v>
      </c>
    </row>
    <row r="215" customFormat="false" ht="15" hidden="false" customHeight="true" outlineLevel="0" collapsed="false">
      <c r="A215" s="4" t="s">
        <v>242</v>
      </c>
      <c r="B215" s="5" t="s">
        <v>240</v>
      </c>
      <c r="C215" s="5" t="s">
        <v>13</v>
      </c>
      <c r="D215" s="5" t="s">
        <v>18</v>
      </c>
      <c r="E215" s="6" t="n">
        <v>548</v>
      </c>
      <c r="F215" s="6" t="n">
        <v>2033</v>
      </c>
      <c r="G215" s="7" t="n">
        <v>0.26955238563699</v>
      </c>
      <c r="H215" s="8"/>
      <c r="I215" s="8"/>
      <c r="J215" s="7" t="n">
        <v>0.73044761436301</v>
      </c>
    </row>
    <row r="216" customFormat="false" ht="15" hidden="false" customHeight="true" outlineLevel="0" collapsed="false">
      <c r="A216" s="4" t="s">
        <v>243</v>
      </c>
      <c r="B216" s="5" t="s">
        <v>240</v>
      </c>
      <c r="C216" s="5" t="s">
        <v>13</v>
      </c>
      <c r="D216" s="5" t="s">
        <v>20</v>
      </c>
      <c r="E216" s="6" t="n">
        <v>395</v>
      </c>
      <c r="F216" s="6" t="n">
        <v>548</v>
      </c>
      <c r="G216" s="7" t="n">
        <v>0.720802919708029</v>
      </c>
      <c r="H216" s="8"/>
      <c r="I216" s="8"/>
      <c r="J216" s="7" t="n">
        <v>0.279197080291971</v>
      </c>
    </row>
    <row r="217" customFormat="false" ht="15" hidden="false" customHeight="true" outlineLevel="0" collapsed="false">
      <c r="A217" s="4" t="s">
        <v>244</v>
      </c>
      <c r="B217" s="5" t="s">
        <v>240</v>
      </c>
      <c r="C217" s="5" t="s">
        <v>13</v>
      </c>
      <c r="D217" s="5" t="s">
        <v>22</v>
      </c>
      <c r="E217" s="6" t="n">
        <v>189</v>
      </c>
      <c r="F217" s="6" t="n">
        <v>395</v>
      </c>
      <c r="G217" s="7" t="n">
        <v>0.478481012658228</v>
      </c>
      <c r="H217" s="8"/>
      <c r="I217" s="8"/>
      <c r="J217" s="7" t="n">
        <v>0.521518987341772</v>
      </c>
    </row>
    <row r="218" customFormat="false" ht="15" hidden="false" customHeight="true" outlineLevel="0" collapsed="false">
      <c r="A218" s="4" t="s">
        <v>245</v>
      </c>
      <c r="B218" s="5" t="s">
        <v>240</v>
      </c>
      <c r="C218" s="5" t="s">
        <v>13</v>
      </c>
      <c r="D218" s="5" t="s">
        <v>24</v>
      </c>
      <c r="E218" s="6" t="n">
        <v>117</v>
      </c>
      <c r="F218" s="6" t="n">
        <v>189</v>
      </c>
      <c r="G218" s="7" t="n">
        <v>0.619047619047619</v>
      </c>
      <c r="H218" s="8"/>
      <c r="I218" s="8"/>
      <c r="J218" s="7" t="n">
        <v>0.380952380952381</v>
      </c>
    </row>
    <row r="219" customFormat="false" ht="15" hidden="false" customHeight="true" outlineLevel="0" collapsed="false">
      <c r="A219" s="4" t="s">
        <v>246</v>
      </c>
      <c r="B219" s="5" t="s">
        <v>240</v>
      </c>
      <c r="C219" s="5" t="s">
        <v>13</v>
      </c>
      <c r="D219" s="5" t="s">
        <v>26</v>
      </c>
      <c r="E219" s="6" t="n">
        <v>88</v>
      </c>
      <c r="F219" s="6" t="n">
        <v>117</v>
      </c>
      <c r="G219" s="7" t="n">
        <v>0.752136752136752</v>
      </c>
      <c r="H219" s="8" t="n">
        <v>290664</v>
      </c>
      <c r="I219" s="8" t="n">
        <v>3303</v>
      </c>
      <c r="J219" s="7" t="n">
        <v>0.247863247863248</v>
      </c>
    </row>
    <row r="220" customFormat="false" ht="15" hidden="false" customHeight="true" outlineLevel="0" collapsed="false">
      <c r="A220" s="4" t="s">
        <v>247</v>
      </c>
      <c r="B220" s="5" t="s">
        <v>240</v>
      </c>
      <c r="C220" s="5" t="s">
        <v>28</v>
      </c>
      <c r="D220" s="5" t="s">
        <v>14</v>
      </c>
      <c r="E220" s="6" t="n">
        <v>5639</v>
      </c>
      <c r="F220" s="6"/>
      <c r="G220" s="7"/>
      <c r="H220" s="8"/>
      <c r="I220" s="8"/>
      <c r="J220" s="7"/>
    </row>
    <row r="221" customFormat="false" ht="15" hidden="false" customHeight="true" outlineLevel="0" collapsed="false">
      <c r="A221" s="4" t="s">
        <v>248</v>
      </c>
      <c r="B221" s="5" t="s">
        <v>240</v>
      </c>
      <c r="C221" s="5" t="s">
        <v>28</v>
      </c>
      <c r="D221" s="5" t="s">
        <v>16</v>
      </c>
      <c r="E221" s="6" t="n">
        <v>2685</v>
      </c>
      <c r="F221" s="6" t="n">
        <v>5639</v>
      </c>
      <c r="G221" s="7" t="n">
        <v>0.476148253236389</v>
      </c>
      <c r="H221" s="8"/>
      <c r="I221" s="8"/>
      <c r="J221" s="7" t="n">
        <v>0.523851746763611</v>
      </c>
    </row>
    <row r="222" customFormat="false" ht="15" hidden="false" customHeight="true" outlineLevel="0" collapsed="false">
      <c r="A222" s="4" t="s">
        <v>249</v>
      </c>
      <c r="B222" s="5" t="s">
        <v>240</v>
      </c>
      <c r="C222" s="5" t="s">
        <v>28</v>
      </c>
      <c r="D222" s="5" t="s">
        <v>18</v>
      </c>
      <c r="E222" s="6" t="n">
        <v>767</v>
      </c>
      <c r="F222" s="6" t="n">
        <v>2685</v>
      </c>
      <c r="G222" s="7" t="n">
        <v>0.285661080074488</v>
      </c>
      <c r="H222" s="8"/>
      <c r="I222" s="8"/>
      <c r="J222" s="7" t="n">
        <v>0.714338919925512</v>
      </c>
    </row>
    <row r="223" customFormat="false" ht="15" hidden="false" customHeight="true" outlineLevel="0" collapsed="false">
      <c r="A223" s="4" t="s">
        <v>250</v>
      </c>
      <c r="B223" s="5" t="s">
        <v>240</v>
      </c>
      <c r="C223" s="5" t="s">
        <v>28</v>
      </c>
      <c r="D223" s="5" t="s">
        <v>20</v>
      </c>
      <c r="E223" s="6" t="n">
        <v>517</v>
      </c>
      <c r="F223" s="6" t="n">
        <v>767</v>
      </c>
      <c r="G223" s="7" t="n">
        <v>0.674054758800522</v>
      </c>
      <c r="H223" s="8"/>
      <c r="I223" s="8"/>
      <c r="J223" s="7" t="n">
        <v>0.325945241199479</v>
      </c>
    </row>
    <row r="224" customFormat="false" ht="15" hidden="false" customHeight="true" outlineLevel="0" collapsed="false">
      <c r="A224" s="4" t="s">
        <v>251</v>
      </c>
      <c r="B224" s="5" t="s">
        <v>240</v>
      </c>
      <c r="C224" s="5" t="s">
        <v>28</v>
      </c>
      <c r="D224" s="5" t="s">
        <v>22</v>
      </c>
      <c r="E224" s="6" t="n">
        <v>210</v>
      </c>
      <c r="F224" s="6" t="n">
        <v>517</v>
      </c>
      <c r="G224" s="7" t="n">
        <v>0.406189555125725</v>
      </c>
      <c r="H224" s="8"/>
      <c r="I224" s="8"/>
      <c r="J224" s="7" t="n">
        <v>0.593810444874275</v>
      </c>
    </row>
    <row r="225" customFormat="false" ht="15" hidden="false" customHeight="true" outlineLevel="0" collapsed="false">
      <c r="A225" s="4" t="s">
        <v>252</v>
      </c>
      <c r="B225" s="5" t="s">
        <v>240</v>
      </c>
      <c r="C225" s="5" t="s">
        <v>28</v>
      </c>
      <c r="D225" s="5" t="s">
        <v>24</v>
      </c>
      <c r="E225" s="6" t="n">
        <v>113</v>
      </c>
      <c r="F225" s="6" t="n">
        <v>210</v>
      </c>
      <c r="G225" s="7" t="n">
        <v>0.538095238095238</v>
      </c>
      <c r="H225" s="8"/>
      <c r="I225" s="8"/>
      <c r="J225" s="7" t="n">
        <v>0.461904761904762</v>
      </c>
    </row>
    <row r="226" customFormat="false" ht="15" hidden="false" customHeight="true" outlineLevel="0" collapsed="false">
      <c r="A226" s="4" t="s">
        <v>253</v>
      </c>
      <c r="B226" s="5" t="s">
        <v>240</v>
      </c>
      <c r="C226" s="5" t="s">
        <v>28</v>
      </c>
      <c r="D226" s="5" t="s">
        <v>26</v>
      </c>
      <c r="E226" s="6" t="n">
        <v>69</v>
      </c>
      <c r="F226" s="6" t="n">
        <v>113</v>
      </c>
      <c r="G226" s="7" t="n">
        <v>0.610619469026549</v>
      </c>
      <c r="H226" s="8" t="n">
        <v>195477</v>
      </c>
      <c r="I226" s="8" t="n">
        <v>2833</v>
      </c>
      <c r="J226" s="7" t="n">
        <v>0.389380530973451</v>
      </c>
    </row>
    <row r="227" customFormat="false" ht="15" hidden="false" customHeight="true" outlineLevel="0" collapsed="false">
      <c r="A227" s="4" t="s">
        <v>254</v>
      </c>
      <c r="B227" s="5" t="s">
        <v>240</v>
      </c>
      <c r="C227" s="5" t="s">
        <v>36</v>
      </c>
      <c r="D227" s="5" t="s">
        <v>14</v>
      </c>
      <c r="E227" s="6" t="n">
        <v>13533</v>
      </c>
      <c r="F227" s="6"/>
      <c r="G227" s="7"/>
      <c r="H227" s="8"/>
      <c r="I227" s="8"/>
      <c r="J227" s="7"/>
    </row>
    <row r="228" customFormat="false" ht="15" hidden="false" customHeight="true" outlineLevel="0" collapsed="false">
      <c r="A228" s="4" t="s">
        <v>255</v>
      </c>
      <c r="B228" s="5" t="s">
        <v>240</v>
      </c>
      <c r="C228" s="5" t="s">
        <v>36</v>
      </c>
      <c r="D228" s="5" t="s">
        <v>16</v>
      </c>
      <c r="E228" s="6" t="n">
        <v>7958</v>
      </c>
      <c r="F228" s="6" t="n">
        <v>13533</v>
      </c>
      <c r="G228" s="7" t="n">
        <v>0.588044040493608</v>
      </c>
      <c r="H228" s="8"/>
      <c r="I228" s="8"/>
      <c r="J228" s="7" t="n">
        <v>0.411955959506392</v>
      </c>
    </row>
    <row r="229" customFormat="false" ht="15" hidden="false" customHeight="true" outlineLevel="0" collapsed="false">
      <c r="A229" s="4" t="s">
        <v>256</v>
      </c>
      <c r="B229" s="5" t="s">
        <v>240</v>
      </c>
      <c r="C229" s="5" t="s">
        <v>36</v>
      </c>
      <c r="D229" s="5" t="s">
        <v>18</v>
      </c>
      <c r="E229" s="6" t="n">
        <v>2038</v>
      </c>
      <c r="F229" s="6" t="n">
        <v>7958</v>
      </c>
      <c r="G229" s="7" t="n">
        <v>0.256094496104549</v>
      </c>
      <c r="H229" s="8"/>
      <c r="I229" s="8"/>
      <c r="J229" s="7" t="n">
        <v>0.743905503895451</v>
      </c>
    </row>
    <row r="230" customFormat="false" ht="15" hidden="false" customHeight="true" outlineLevel="0" collapsed="false">
      <c r="A230" s="4" t="s">
        <v>257</v>
      </c>
      <c r="B230" s="5" t="s">
        <v>240</v>
      </c>
      <c r="C230" s="5" t="s">
        <v>36</v>
      </c>
      <c r="D230" s="5" t="s">
        <v>20</v>
      </c>
      <c r="E230" s="6" t="n">
        <v>1275</v>
      </c>
      <c r="F230" s="6" t="n">
        <v>2038</v>
      </c>
      <c r="G230" s="7" t="n">
        <v>0.625613346418057</v>
      </c>
      <c r="H230" s="8"/>
      <c r="I230" s="8"/>
      <c r="J230" s="7" t="n">
        <v>0.374386653581943</v>
      </c>
    </row>
    <row r="231" customFormat="false" ht="15" hidden="false" customHeight="true" outlineLevel="0" collapsed="false">
      <c r="A231" s="4" t="s">
        <v>258</v>
      </c>
      <c r="B231" s="5" t="s">
        <v>240</v>
      </c>
      <c r="C231" s="5" t="s">
        <v>36</v>
      </c>
      <c r="D231" s="5" t="s">
        <v>22</v>
      </c>
      <c r="E231" s="6" t="n">
        <v>605</v>
      </c>
      <c r="F231" s="6" t="n">
        <v>1275</v>
      </c>
      <c r="G231" s="7" t="n">
        <v>0.474509803921569</v>
      </c>
      <c r="H231" s="8"/>
      <c r="I231" s="8"/>
      <c r="J231" s="7" t="n">
        <v>0.525490196078431</v>
      </c>
    </row>
    <row r="232" customFormat="false" ht="15" hidden="false" customHeight="true" outlineLevel="0" collapsed="false">
      <c r="A232" s="4" t="s">
        <v>259</v>
      </c>
      <c r="B232" s="5" t="s">
        <v>240</v>
      </c>
      <c r="C232" s="5" t="s">
        <v>36</v>
      </c>
      <c r="D232" s="5" t="s">
        <v>24</v>
      </c>
      <c r="E232" s="6" t="n">
        <v>319</v>
      </c>
      <c r="F232" s="6" t="n">
        <v>605</v>
      </c>
      <c r="G232" s="7" t="n">
        <v>0.527272727272727</v>
      </c>
      <c r="H232" s="8"/>
      <c r="I232" s="8"/>
      <c r="J232" s="7" t="n">
        <v>0.472727272727273</v>
      </c>
    </row>
    <row r="233" customFormat="false" ht="15" hidden="false" customHeight="true" outlineLevel="0" collapsed="false">
      <c r="A233" s="4" t="s">
        <v>260</v>
      </c>
      <c r="B233" s="5" t="s">
        <v>240</v>
      </c>
      <c r="C233" s="5" t="s">
        <v>36</v>
      </c>
      <c r="D233" s="5" t="s">
        <v>26</v>
      </c>
      <c r="E233" s="6" t="n">
        <v>243</v>
      </c>
      <c r="F233" s="6" t="n">
        <v>319</v>
      </c>
      <c r="G233" s="7" t="n">
        <v>0.761755485893417</v>
      </c>
      <c r="H233" s="8" t="n">
        <v>428652</v>
      </c>
      <c r="I233" s="8" t="n">
        <v>1764</v>
      </c>
      <c r="J233" s="7" t="n">
        <v>0.238244514106583</v>
      </c>
    </row>
    <row r="234" customFormat="false" ht="15" hidden="false" customHeight="true" outlineLevel="0" collapsed="false">
      <c r="A234" s="4" t="s">
        <v>261</v>
      </c>
      <c r="B234" s="5" t="s">
        <v>240</v>
      </c>
      <c r="C234" s="5" t="s">
        <v>44</v>
      </c>
      <c r="D234" s="5" t="s">
        <v>14</v>
      </c>
      <c r="E234" s="6" t="n">
        <v>12285</v>
      </c>
      <c r="F234" s="6"/>
      <c r="G234" s="7"/>
      <c r="H234" s="8"/>
      <c r="I234" s="8"/>
      <c r="J234" s="7"/>
    </row>
    <row r="235" customFormat="false" ht="15" hidden="false" customHeight="true" outlineLevel="0" collapsed="false">
      <c r="A235" s="4" t="s">
        <v>262</v>
      </c>
      <c r="B235" s="5" t="s">
        <v>240</v>
      </c>
      <c r="C235" s="5" t="s">
        <v>44</v>
      </c>
      <c r="D235" s="5" t="s">
        <v>16</v>
      </c>
      <c r="E235" s="6" t="n">
        <v>7350</v>
      </c>
      <c r="F235" s="6" t="n">
        <v>12285</v>
      </c>
      <c r="G235" s="7" t="n">
        <v>0.598290598290598</v>
      </c>
      <c r="H235" s="8"/>
      <c r="I235" s="8"/>
      <c r="J235" s="7" t="n">
        <v>0.401709401709402</v>
      </c>
    </row>
    <row r="236" customFormat="false" ht="15" hidden="false" customHeight="true" outlineLevel="0" collapsed="false">
      <c r="A236" s="4" t="s">
        <v>263</v>
      </c>
      <c r="B236" s="5" t="s">
        <v>240</v>
      </c>
      <c r="C236" s="5" t="s">
        <v>44</v>
      </c>
      <c r="D236" s="5" t="s">
        <v>18</v>
      </c>
      <c r="E236" s="6" t="n">
        <v>2452</v>
      </c>
      <c r="F236" s="6" t="n">
        <v>7350</v>
      </c>
      <c r="G236" s="7" t="n">
        <v>0.333605442176871</v>
      </c>
      <c r="H236" s="8"/>
      <c r="I236" s="8"/>
      <c r="J236" s="7" t="n">
        <v>0.666394557823129</v>
      </c>
    </row>
    <row r="237" customFormat="false" ht="15" hidden="false" customHeight="true" outlineLevel="0" collapsed="false">
      <c r="A237" s="4" t="s">
        <v>264</v>
      </c>
      <c r="B237" s="5" t="s">
        <v>240</v>
      </c>
      <c r="C237" s="5" t="s">
        <v>44</v>
      </c>
      <c r="D237" s="5" t="s">
        <v>20</v>
      </c>
      <c r="E237" s="6" t="n">
        <v>1393</v>
      </c>
      <c r="F237" s="6" t="n">
        <v>2452</v>
      </c>
      <c r="G237" s="7" t="n">
        <v>0.568107667210441</v>
      </c>
      <c r="H237" s="8"/>
      <c r="I237" s="8"/>
      <c r="J237" s="7" t="n">
        <v>0.43189233278956</v>
      </c>
    </row>
    <row r="238" customFormat="false" ht="15" hidden="false" customHeight="true" outlineLevel="0" collapsed="false">
      <c r="A238" s="4" t="s">
        <v>265</v>
      </c>
      <c r="B238" s="5" t="s">
        <v>240</v>
      </c>
      <c r="C238" s="5" t="s">
        <v>44</v>
      </c>
      <c r="D238" s="5" t="s">
        <v>22</v>
      </c>
      <c r="E238" s="6" t="n">
        <v>686</v>
      </c>
      <c r="F238" s="6" t="n">
        <v>1393</v>
      </c>
      <c r="G238" s="7" t="n">
        <v>0.492462311557789</v>
      </c>
      <c r="H238" s="8"/>
      <c r="I238" s="8"/>
      <c r="J238" s="7" t="n">
        <v>0.507537688442211</v>
      </c>
    </row>
    <row r="239" customFormat="false" ht="15" hidden="false" customHeight="true" outlineLevel="0" collapsed="false">
      <c r="A239" s="4" t="s">
        <v>266</v>
      </c>
      <c r="B239" s="5" t="s">
        <v>240</v>
      </c>
      <c r="C239" s="5" t="s">
        <v>44</v>
      </c>
      <c r="D239" s="5" t="s">
        <v>24</v>
      </c>
      <c r="E239" s="6" t="n">
        <v>457</v>
      </c>
      <c r="F239" s="6" t="n">
        <v>686</v>
      </c>
      <c r="G239" s="7" t="n">
        <v>0.666180758017493</v>
      </c>
      <c r="H239" s="8"/>
      <c r="I239" s="8"/>
      <c r="J239" s="7" t="n">
        <v>0.333819241982507</v>
      </c>
    </row>
    <row r="240" customFormat="false" ht="15" hidden="false" customHeight="true" outlineLevel="0" collapsed="false">
      <c r="A240" s="4" t="s">
        <v>267</v>
      </c>
      <c r="B240" s="5" t="s">
        <v>240</v>
      </c>
      <c r="C240" s="5" t="s">
        <v>44</v>
      </c>
      <c r="D240" s="5" t="s">
        <v>26</v>
      </c>
      <c r="E240" s="6" t="n">
        <v>352</v>
      </c>
      <c r="F240" s="6" t="n">
        <v>457</v>
      </c>
      <c r="G240" s="7" t="n">
        <v>0.770240700218818</v>
      </c>
      <c r="H240" s="8" t="n">
        <v>1397440</v>
      </c>
      <c r="I240" s="8" t="n">
        <v>3970</v>
      </c>
      <c r="J240" s="7" t="n">
        <v>0.229759299781182</v>
      </c>
    </row>
    <row r="241" customFormat="false" ht="15" hidden="false" customHeight="true" outlineLevel="0" collapsed="false">
      <c r="A241" s="4" t="s">
        <v>268</v>
      </c>
      <c r="B241" s="5" t="s">
        <v>240</v>
      </c>
      <c r="C241" s="5" t="s">
        <v>52</v>
      </c>
      <c r="D241" s="5" t="s">
        <v>14</v>
      </c>
      <c r="E241" s="6" t="n">
        <v>10273</v>
      </c>
      <c r="F241" s="6"/>
      <c r="G241" s="7"/>
      <c r="H241" s="8"/>
      <c r="I241" s="8"/>
      <c r="J241" s="7"/>
    </row>
    <row r="242" customFormat="false" ht="15" hidden="false" customHeight="true" outlineLevel="0" collapsed="false">
      <c r="A242" s="4" t="s">
        <v>269</v>
      </c>
      <c r="B242" s="5" t="s">
        <v>240</v>
      </c>
      <c r="C242" s="5" t="s">
        <v>52</v>
      </c>
      <c r="D242" s="5" t="s">
        <v>16</v>
      </c>
      <c r="E242" s="6" t="n">
        <v>5333</v>
      </c>
      <c r="F242" s="6" t="n">
        <v>10273</v>
      </c>
      <c r="G242" s="7" t="n">
        <v>0.519127810766086</v>
      </c>
      <c r="H242" s="8"/>
      <c r="I242" s="8"/>
      <c r="J242" s="7" t="n">
        <v>0.480872189233914</v>
      </c>
    </row>
    <row r="243" customFormat="false" ht="15" hidden="false" customHeight="true" outlineLevel="0" collapsed="false">
      <c r="A243" s="4" t="s">
        <v>270</v>
      </c>
      <c r="B243" s="5" t="s">
        <v>240</v>
      </c>
      <c r="C243" s="5" t="s">
        <v>52</v>
      </c>
      <c r="D243" s="5" t="s">
        <v>18</v>
      </c>
      <c r="E243" s="6" t="n">
        <v>1381</v>
      </c>
      <c r="F243" s="6" t="n">
        <v>5333</v>
      </c>
      <c r="G243" s="7" t="n">
        <v>0.258953684605288</v>
      </c>
      <c r="H243" s="8"/>
      <c r="I243" s="8"/>
      <c r="J243" s="7" t="n">
        <v>0.741046315394712</v>
      </c>
    </row>
    <row r="244" customFormat="false" ht="15" hidden="false" customHeight="true" outlineLevel="0" collapsed="false">
      <c r="A244" s="4" t="s">
        <v>271</v>
      </c>
      <c r="B244" s="5" t="s">
        <v>240</v>
      </c>
      <c r="C244" s="5" t="s">
        <v>52</v>
      </c>
      <c r="D244" s="5" t="s">
        <v>20</v>
      </c>
      <c r="E244" s="6" t="n">
        <v>869</v>
      </c>
      <c r="F244" s="6" t="n">
        <v>1381</v>
      </c>
      <c r="G244" s="7" t="n">
        <v>0.629254163649529</v>
      </c>
      <c r="H244" s="8"/>
      <c r="I244" s="8"/>
      <c r="J244" s="7" t="n">
        <v>0.370745836350471</v>
      </c>
    </row>
    <row r="245" customFormat="false" ht="15" hidden="false" customHeight="true" outlineLevel="0" collapsed="false">
      <c r="A245" s="4" t="s">
        <v>272</v>
      </c>
      <c r="B245" s="5" t="s">
        <v>240</v>
      </c>
      <c r="C245" s="5" t="s">
        <v>52</v>
      </c>
      <c r="D245" s="5" t="s">
        <v>22</v>
      </c>
      <c r="E245" s="6" t="n">
        <v>367</v>
      </c>
      <c r="F245" s="6" t="n">
        <v>869</v>
      </c>
      <c r="G245" s="7" t="n">
        <v>0.422324510932106</v>
      </c>
      <c r="H245" s="8"/>
      <c r="I245" s="8"/>
      <c r="J245" s="7" t="n">
        <v>0.577675489067894</v>
      </c>
    </row>
    <row r="246" customFormat="false" ht="15" hidden="false" customHeight="true" outlineLevel="0" collapsed="false">
      <c r="A246" s="4" t="s">
        <v>273</v>
      </c>
      <c r="B246" s="5" t="s">
        <v>240</v>
      </c>
      <c r="C246" s="5" t="s">
        <v>52</v>
      </c>
      <c r="D246" s="5" t="s">
        <v>24</v>
      </c>
      <c r="E246" s="6" t="n">
        <v>197</v>
      </c>
      <c r="F246" s="6" t="n">
        <v>367</v>
      </c>
      <c r="G246" s="7" t="n">
        <v>0.536784741144414</v>
      </c>
      <c r="H246" s="8"/>
      <c r="I246" s="8"/>
      <c r="J246" s="7" t="n">
        <v>0.463215258855586</v>
      </c>
    </row>
    <row r="247" customFormat="false" ht="15" hidden="false" customHeight="true" outlineLevel="0" collapsed="false">
      <c r="A247" s="4" t="s">
        <v>274</v>
      </c>
      <c r="B247" s="5" t="s">
        <v>240</v>
      </c>
      <c r="C247" s="5" t="s">
        <v>52</v>
      </c>
      <c r="D247" s="5" t="s">
        <v>26</v>
      </c>
      <c r="E247" s="6" t="n">
        <v>156</v>
      </c>
      <c r="F247" s="6" t="n">
        <v>197</v>
      </c>
      <c r="G247" s="7" t="n">
        <v>0.791878172588833</v>
      </c>
      <c r="H247" s="8" t="n">
        <v>687648</v>
      </c>
      <c r="I247" s="8" t="n">
        <v>4408</v>
      </c>
      <c r="J247" s="7" t="n">
        <v>0.208121827411168</v>
      </c>
    </row>
    <row r="248" customFormat="false" ht="15" hidden="false" customHeight="true" outlineLevel="0" collapsed="false">
      <c r="A248" s="4" t="s">
        <v>275</v>
      </c>
      <c r="B248" s="5" t="s">
        <v>240</v>
      </c>
      <c r="C248" s="5" t="s">
        <v>60</v>
      </c>
      <c r="D248" s="5" t="s">
        <v>14</v>
      </c>
      <c r="E248" s="6" t="n">
        <v>7679</v>
      </c>
      <c r="F248" s="6"/>
      <c r="G248" s="7"/>
      <c r="H248" s="8"/>
      <c r="I248" s="8"/>
      <c r="J248" s="7"/>
    </row>
    <row r="249" customFormat="false" ht="15" hidden="false" customHeight="true" outlineLevel="0" collapsed="false">
      <c r="A249" s="4" t="s">
        <v>276</v>
      </c>
      <c r="B249" s="5" t="s">
        <v>240</v>
      </c>
      <c r="C249" s="5" t="s">
        <v>60</v>
      </c>
      <c r="D249" s="5" t="s">
        <v>16</v>
      </c>
      <c r="E249" s="6" t="n">
        <v>3964</v>
      </c>
      <c r="F249" s="6" t="n">
        <v>7679</v>
      </c>
      <c r="G249" s="7" t="n">
        <v>0.516213048574033</v>
      </c>
      <c r="H249" s="8"/>
      <c r="I249" s="8"/>
      <c r="J249" s="7" t="n">
        <v>0.483786951425967</v>
      </c>
    </row>
    <row r="250" customFormat="false" ht="15" hidden="false" customHeight="true" outlineLevel="0" collapsed="false">
      <c r="A250" s="4" t="s">
        <v>277</v>
      </c>
      <c r="B250" s="5" t="s">
        <v>240</v>
      </c>
      <c r="C250" s="5" t="s">
        <v>60</v>
      </c>
      <c r="D250" s="5" t="s">
        <v>18</v>
      </c>
      <c r="E250" s="6" t="n">
        <v>1054</v>
      </c>
      <c r="F250" s="6" t="n">
        <v>3964</v>
      </c>
      <c r="G250" s="7" t="n">
        <v>0.265893037336024</v>
      </c>
      <c r="H250" s="8"/>
      <c r="I250" s="8"/>
      <c r="J250" s="7" t="n">
        <v>0.734106962663976</v>
      </c>
    </row>
    <row r="251" customFormat="false" ht="15" hidden="false" customHeight="true" outlineLevel="0" collapsed="false">
      <c r="A251" s="4" t="s">
        <v>278</v>
      </c>
      <c r="B251" s="5" t="s">
        <v>240</v>
      </c>
      <c r="C251" s="5" t="s">
        <v>60</v>
      </c>
      <c r="D251" s="5" t="s">
        <v>20</v>
      </c>
      <c r="E251" s="6" t="n">
        <v>670</v>
      </c>
      <c r="F251" s="6" t="n">
        <v>1054</v>
      </c>
      <c r="G251" s="7" t="n">
        <v>0.635673624288425</v>
      </c>
      <c r="H251" s="8"/>
      <c r="I251" s="8"/>
      <c r="J251" s="7" t="n">
        <v>0.364326375711575</v>
      </c>
    </row>
    <row r="252" customFormat="false" ht="15" hidden="false" customHeight="true" outlineLevel="0" collapsed="false">
      <c r="A252" s="4" t="s">
        <v>279</v>
      </c>
      <c r="B252" s="5" t="s">
        <v>240</v>
      </c>
      <c r="C252" s="5" t="s">
        <v>60</v>
      </c>
      <c r="D252" s="5" t="s">
        <v>22</v>
      </c>
      <c r="E252" s="6" t="n">
        <v>262</v>
      </c>
      <c r="F252" s="6" t="n">
        <v>670</v>
      </c>
      <c r="G252" s="7" t="n">
        <v>0.391044776119403</v>
      </c>
      <c r="H252" s="8"/>
      <c r="I252" s="8"/>
      <c r="J252" s="7" t="n">
        <v>0.608955223880597</v>
      </c>
    </row>
    <row r="253" customFormat="false" ht="15" hidden="false" customHeight="true" outlineLevel="0" collapsed="false">
      <c r="A253" s="4" t="s">
        <v>280</v>
      </c>
      <c r="B253" s="5" t="s">
        <v>240</v>
      </c>
      <c r="C253" s="5" t="s">
        <v>60</v>
      </c>
      <c r="D253" s="5" t="s">
        <v>24</v>
      </c>
      <c r="E253" s="6" t="n">
        <v>150</v>
      </c>
      <c r="F253" s="6" t="n">
        <v>262</v>
      </c>
      <c r="G253" s="7" t="n">
        <v>0.572519083969466</v>
      </c>
      <c r="H253" s="8"/>
      <c r="I253" s="8"/>
      <c r="J253" s="7" t="n">
        <v>0.427480916030534</v>
      </c>
    </row>
    <row r="254" customFormat="false" ht="15" hidden="false" customHeight="true" outlineLevel="0" collapsed="false">
      <c r="A254" s="4" t="s">
        <v>281</v>
      </c>
      <c r="B254" s="5" t="s">
        <v>240</v>
      </c>
      <c r="C254" s="5" t="s">
        <v>60</v>
      </c>
      <c r="D254" s="5" t="s">
        <v>26</v>
      </c>
      <c r="E254" s="6" t="n">
        <v>108</v>
      </c>
      <c r="F254" s="6" t="n">
        <v>150</v>
      </c>
      <c r="G254" s="7" t="n">
        <v>0.72</v>
      </c>
      <c r="H254" s="8" t="n">
        <v>226692</v>
      </c>
      <c r="I254" s="8" t="n">
        <v>2099</v>
      </c>
      <c r="J254" s="7" t="n">
        <v>0.28</v>
      </c>
    </row>
    <row r="255" customFormat="false" ht="15" hidden="false" customHeight="true" outlineLevel="0" collapsed="false">
      <c r="A255" s="4" t="s">
        <v>282</v>
      </c>
      <c r="B255" s="5" t="s">
        <v>283</v>
      </c>
      <c r="C255" s="5" t="s">
        <v>13</v>
      </c>
      <c r="D255" s="5" t="s">
        <v>14</v>
      </c>
      <c r="E255" s="6" t="n">
        <v>8481</v>
      </c>
      <c r="F255" s="6"/>
      <c r="G255" s="7"/>
      <c r="H255" s="8"/>
      <c r="I255" s="8"/>
      <c r="J255" s="7"/>
    </row>
    <row r="256" customFormat="false" ht="15" hidden="false" customHeight="true" outlineLevel="0" collapsed="false">
      <c r="A256" s="4" t="s">
        <v>284</v>
      </c>
      <c r="B256" s="5" t="s">
        <v>283</v>
      </c>
      <c r="C256" s="5" t="s">
        <v>13</v>
      </c>
      <c r="D256" s="5" t="s">
        <v>16</v>
      </c>
      <c r="E256" s="6" t="n">
        <v>5092</v>
      </c>
      <c r="F256" s="6" t="n">
        <v>8481</v>
      </c>
      <c r="G256" s="7" t="n">
        <v>0.60040089612074</v>
      </c>
      <c r="H256" s="8"/>
      <c r="I256" s="8"/>
      <c r="J256" s="7" t="n">
        <v>0.39959910387926</v>
      </c>
    </row>
    <row r="257" customFormat="false" ht="15" hidden="false" customHeight="true" outlineLevel="0" collapsed="false">
      <c r="A257" s="4" t="s">
        <v>285</v>
      </c>
      <c r="B257" s="5" t="s">
        <v>283</v>
      </c>
      <c r="C257" s="5" t="s">
        <v>13</v>
      </c>
      <c r="D257" s="5" t="s">
        <v>18</v>
      </c>
      <c r="E257" s="6" t="n">
        <v>1742</v>
      </c>
      <c r="F257" s="6" t="n">
        <v>5092</v>
      </c>
      <c r="G257" s="7" t="n">
        <v>0.342105263157895</v>
      </c>
      <c r="H257" s="8"/>
      <c r="I257" s="8"/>
      <c r="J257" s="7" t="n">
        <v>0.657894736842105</v>
      </c>
    </row>
    <row r="258" customFormat="false" ht="15" hidden="false" customHeight="true" outlineLevel="0" collapsed="false">
      <c r="A258" s="4" t="s">
        <v>286</v>
      </c>
      <c r="B258" s="5" t="s">
        <v>283</v>
      </c>
      <c r="C258" s="5" t="s">
        <v>13</v>
      </c>
      <c r="D258" s="5" t="s">
        <v>20</v>
      </c>
      <c r="E258" s="6" t="n">
        <v>1090</v>
      </c>
      <c r="F258" s="6" t="n">
        <v>1742</v>
      </c>
      <c r="G258" s="7" t="n">
        <v>0.625717566016074</v>
      </c>
      <c r="H258" s="8"/>
      <c r="I258" s="8"/>
      <c r="J258" s="7" t="n">
        <v>0.374282433983927</v>
      </c>
    </row>
    <row r="259" customFormat="false" ht="15" hidden="false" customHeight="true" outlineLevel="0" collapsed="false">
      <c r="A259" s="4" t="s">
        <v>287</v>
      </c>
      <c r="B259" s="5" t="s">
        <v>283</v>
      </c>
      <c r="C259" s="5" t="s">
        <v>13</v>
      </c>
      <c r="D259" s="5" t="s">
        <v>22</v>
      </c>
      <c r="E259" s="6" t="n">
        <v>456</v>
      </c>
      <c r="F259" s="6" t="n">
        <v>1090</v>
      </c>
      <c r="G259" s="7" t="n">
        <v>0.418348623853211</v>
      </c>
      <c r="H259" s="8"/>
      <c r="I259" s="8"/>
      <c r="J259" s="7" t="n">
        <v>0.581651376146789</v>
      </c>
    </row>
    <row r="260" customFormat="false" ht="15" hidden="false" customHeight="true" outlineLevel="0" collapsed="false">
      <c r="A260" s="4" t="s">
        <v>288</v>
      </c>
      <c r="B260" s="5" t="s">
        <v>283</v>
      </c>
      <c r="C260" s="5" t="s">
        <v>13</v>
      </c>
      <c r="D260" s="5" t="s">
        <v>24</v>
      </c>
      <c r="E260" s="6" t="n">
        <v>251</v>
      </c>
      <c r="F260" s="6" t="n">
        <v>456</v>
      </c>
      <c r="G260" s="7" t="n">
        <v>0.550438596491228</v>
      </c>
      <c r="H260" s="8"/>
      <c r="I260" s="8"/>
      <c r="J260" s="7" t="n">
        <v>0.449561403508772</v>
      </c>
    </row>
    <row r="261" customFormat="false" ht="15" hidden="false" customHeight="true" outlineLevel="0" collapsed="false">
      <c r="A261" s="4" t="s">
        <v>289</v>
      </c>
      <c r="B261" s="5" t="s">
        <v>283</v>
      </c>
      <c r="C261" s="5" t="s">
        <v>13</v>
      </c>
      <c r="D261" s="5" t="s">
        <v>26</v>
      </c>
      <c r="E261" s="6" t="n">
        <v>157</v>
      </c>
      <c r="F261" s="6" t="n">
        <v>251</v>
      </c>
      <c r="G261" s="7" t="n">
        <v>0.625498007968128</v>
      </c>
      <c r="H261" s="8" t="n">
        <v>559234</v>
      </c>
      <c r="I261" s="8" t="n">
        <v>3562</v>
      </c>
      <c r="J261" s="7" t="n">
        <v>0.374501992031873</v>
      </c>
    </row>
    <row r="262" customFormat="false" ht="15" hidden="false" customHeight="true" outlineLevel="0" collapsed="false">
      <c r="A262" s="4" t="s">
        <v>290</v>
      </c>
      <c r="B262" s="5" t="s">
        <v>283</v>
      </c>
      <c r="C262" s="5" t="s">
        <v>28</v>
      </c>
      <c r="D262" s="5" t="s">
        <v>14</v>
      </c>
      <c r="E262" s="6" t="n">
        <v>3303</v>
      </c>
      <c r="F262" s="6"/>
      <c r="G262" s="7"/>
      <c r="H262" s="8"/>
      <c r="I262" s="8"/>
      <c r="J262" s="7"/>
    </row>
    <row r="263" customFormat="false" ht="15" hidden="false" customHeight="true" outlineLevel="0" collapsed="false">
      <c r="A263" s="4" t="s">
        <v>291</v>
      </c>
      <c r="B263" s="5" t="s">
        <v>283</v>
      </c>
      <c r="C263" s="5" t="s">
        <v>28</v>
      </c>
      <c r="D263" s="5" t="s">
        <v>16</v>
      </c>
      <c r="E263" s="6" t="n">
        <v>2055</v>
      </c>
      <c r="F263" s="6" t="n">
        <v>3303</v>
      </c>
      <c r="G263" s="7" t="n">
        <v>0.622161671207993</v>
      </c>
      <c r="H263" s="8"/>
      <c r="I263" s="8"/>
      <c r="J263" s="7" t="n">
        <v>0.377838328792007</v>
      </c>
    </row>
    <row r="264" customFormat="false" ht="15" hidden="false" customHeight="true" outlineLevel="0" collapsed="false">
      <c r="A264" s="4" t="s">
        <v>292</v>
      </c>
      <c r="B264" s="5" t="s">
        <v>283</v>
      </c>
      <c r="C264" s="5" t="s">
        <v>28</v>
      </c>
      <c r="D264" s="5" t="s">
        <v>18</v>
      </c>
      <c r="E264" s="6" t="n">
        <v>660</v>
      </c>
      <c r="F264" s="6" t="n">
        <v>2055</v>
      </c>
      <c r="G264" s="7" t="n">
        <v>0.321167883211679</v>
      </c>
      <c r="H264" s="8"/>
      <c r="I264" s="8"/>
      <c r="J264" s="7" t="n">
        <v>0.678832116788321</v>
      </c>
    </row>
    <row r="265" customFormat="false" ht="15" hidden="false" customHeight="true" outlineLevel="0" collapsed="false">
      <c r="A265" s="4" t="s">
        <v>293</v>
      </c>
      <c r="B265" s="5" t="s">
        <v>283</v>
      </c>
      <c r="C265" s="5" t="s">
        <v>28</v>
      </c>
      <c r="D265" s="5" t="s">
        <v>20</v>
      </c>
      <c r="E265" s="6" t="n">
        <v>418</v>
      </c>
      <c r="F265" s="6" t="n">
        <v>660</v>
      </c>
      <c r="G265" s="7" t="n">
        <v>0.633333333333333</v>
      </c>
      <c r="H265" s="8"/>
      <c r="I265" s="8"/>
      <c r="J265" s="7" t="n">
        <v>0.366666666666667</v>
      </c>
    </row>
    <row r="266" customFormat="false" ht="15" hidden="false" customHeight="true" outlineLevel="0" collapsed="false">
      <c r="A266" s="4" t="s">
        <v>294</v>
      </c>
      <c r="B266" s="5" t="s">
        <v>283</v>
      </c>
      <c r="C266" s="5" t="s">
        <v>28</v>
      </c>
      <c r="D266" s="5" t="s">
        <v>22</v>
      </c>
      <c r="E266" s="6" t="n">
        <v>200</v>
      </c>
      <c r="F266" s="6" t="n">
        <v>418</v>
      </c>
      <c r="G266" s="7" t="n">
        <v>0.478468899521531</v>
      </c>
      <c r="H266" s="8"/>
      <c r="I266" s="8"/>
      <c r="J266" s="7" t="n">
        <v>0.521531100478469</v>
      </c>
    </row>
    <row r="267" customFormat="false" ht="15" hidden="false" customHeight="true" outlineLevel="0" collapsed="false">
      <c r="A267" s="4" t="s">
        <v>295</v>
      </c>
      <c r="B267" s="5" t="s">
        <v>283</v>
      </c>
      <c r="C267" s="5" t="s">
        <v>28</v>
      </c>
      <c r="D267" s="5" t="s">
        <v>24</v>
      </c>
      <c r="E267" s="6" t="n">
        <v>129</v>
      </c>
      <c r="F267" s="6" t="n">
        <v>200</v>
      </c>
      <c r="G267" s="7" t="n">
        <v>0.645</v>
      </c>
      <c r="H267" s="8"/>
      <c r="I267" s="8"/>
      <c r="J267" s="7" t="n">
        <v>0.355</v>
      </c>
    </row>
    <row r="268" customFormat="false" ht="15" hidden="false" customHeight="true" outlineLevel="0" collapsed="false">
      <c r="A268" s="4" t="s">
        <v>296</v>
      </c>
      <c r="B268" s="5" t="s">
        <v>283</v>
      </c>
      <c r="C268" s="5" t="s">
        <v>28</v>
      </c>
      <c r="D268" s="5" t="s">
        <v>26</v>
      </c>
      <c r="E268" s="6" t="n">
        <v>81</v>
      </c>
      <c r="F268" s="6" t="n">
        <v>129</v>
      </c>
      <c r="G268" s="7" t="n">
        <v>0.627906976744186</v>
      </c>
      <c r="H268" s="8" t="n">
        <v>199584</v>
      </c>
      <c r="I268" s="8" t="n">
        <v>2464</v>
      </c>
      <c r="J268" s="7" t="n">
        <v>0.372093023255814</v>
      </c>
    </row>
    <row r="269" customFormat="false" ht="15" hidden="false" customHeight="true" outlineLevel="0" collapsed="false">
      <c r="A269" s="4" t="s">
        <v>297</v>
      </c>
      <c r="B269" s="5" t="s">
        <v>283</v>
      </c>
      <c r="C269" s="5" t="s">
        <v>36</v>
      </c>
      <c r="D269" s="5" t="s">
        <v>14</v>
      </c>
      <c r="E269" s="6" t="n">
        <v>3894</v>
      </c>
      <c r="F269" s="6"/>
      <c r="G269" s="7"/>
      <c r="H269" s="8"/>
      <c r="I269" s="8"/>
      <c r="J269" s="7"/>
    </row>
    <row r="270" customFormat="false" ht="15" hidden="false" customHeight="true" outlineLevel="0" collapsed="false">
      <c r="A270" s="4" t="s">
        <v>298</v>
      </c>
      <c r="B270" s="5" t="s">
        <v>283</v>
      </c>
      <c r="C270" s="5" t="s">
        <v>36</v>
      </c>
      <c r="D270" s="5" t="s">
        <v>16</v>
      </c>
      <c r="E270" s="6" t="n">
        <v>2236</v>
      </c>
      <c r="F270" s="6" t="n">
        <v>3894</v>
      </c>
      <c r="G270" s="7" t="n">
        <v>0.574216743708269</v>
      </c>
      <c r="H270" s="8"/>
      <c r="I270" s="8"/>
      <c r="J270" s="7" t="n">
        <v>0.425783256291731</v>
      </c>
    </row>
    <row r="271" customFormat="false" ht="15" hidden="false" customHeight="true" outlineLevel="0" collapsed="false">
      <c r="A271" s="4" t="s">
        <v>299</v>
      </c>
      <c r="B271" s="5" t="s">
        <v>283</v>
      </c>
      <c r="C271" s="5" t="s">
        <v>36</v>
      </c>
      <c r="D271" s="5" t="s">
        <v>18</v>
      </c>
      <c r="E271" s="6" t="n">
        <v>603</v>
      </c>
      <c r="F271" s="6" t="n">
        <v>2236</v>
      </c>
      <c r="G271" s="7" t="n">
        <v>0.269677996422183</v>
      </c>
      <c r="H271" s="8"/>
      <c r="I271" s="8"/>
      <c r="J271" s="7" t="n">
        <v>0.730322003577818</v>
      </c>
    </row>
    <row r="272" customFormat="false" ht="15" hidden="false" customHeight="true" outlineLevel="0" collapsed="false">
      <c r="A272" s="4" t="s">
        <v>300</v>
      </c>
      <c r="B272" s="5" t="s">
        <v>283</v>
      </c>
      <c r="C272" s="5" t="s">
        <v>36</v>
      </c>
      <c r="D272" s="5" t="s">
        <v>20</v>
      </c>
      <c r="E272" s="6" t="n">
        <v>399</v>
      </c>
      <c r="F272" s="6" t="n">
        <v>603</v>
      </c>
      <c r="G272" s="7" t="n">
        <v>0.661691542288557</v>
      </c>
      <c r="H272" s="8"/>
      <c r="I272" s="8"/>
      <c r="J272" s="7" t="n">
        <v>0.338308457711443</v>
      </c>
    </row>
    <row r="273" customFormat="false" ht="15" hidden="false" customHeight="true" outlineLevel="0" collapsed="false">
      <c r="A273" s="4" t="s">
        <v>301</v>
      </c>
      <c r="B273" s="5" t="s">
        <v>283</v>
      </c>
      <c r="C273" s="5" t="s">
        <v>36</v>
      </c>
      <c r="D273" s="5" t="s">
        <v>22</v>
      </c>
      <c r="E273" s="6" t="n">
        <v>176</v>
      </c>
      <c r="F273" s="6" t="n">
        <v>399</v>
      </c>
      <c r="G273" s="7" t="n">
        <v>0.441102756892231</v>
      </c>
      <c r="H273" s="8"/>
      <c r="I273" s="8"/>
      <c r="J273" s="7" t="n">
        <v>0.558897243107769</v>
      </c>
    </row>
    <row r="274" customFormat="false" ht="15" hidden="false" customHeight="true" outlineLevel="0" collapsed="false">
      <c r="A274" s="4" t="s">
        <v>302</v>
      </c>
      <c r="B274" s="5" t="s">
        <v>283</v>
      </c>
      <c r="C274" s="5" t="s">
        <v>36</v>
      </c>
      <c r="D274" s="5" t="s">
        <v>24</v>
      </c>
      <c r="E274" s="6" t="n">
        <v>107</v>
      </c>
      <c r="F274" s="6" t="n">
        <v>176</v>
      </c>
      <c r="G274" s="7" t="n">
        <v>0.607954545454545</v>
      </c>
      <c r="H274" s="8"/>
      <c r="I274" s="8"/>
      <c r="J274" s="7" t="n">
        <v>0.392045454545455</v>
      </c>
    </row>
    <row r="275" customFormat="false" ht="15" hidden="false" customHeight="true" outlineLevel="0" collapsed="false">
      <c r="A275" s="4" t="s">
        <v>303</v>
      </c>
      <c r="B275" s="5" t="s">
        <v>283</v>
      </c>
      <c r="C275" s="5" t="s">
        <v>36</v>
      </c>
      <c r="D275" s="5" t="s">
        <v>26</v>
      </c>
      <c r="E275" s="6" t="n">
        <v>64</v>
      </c>
      <c r="F275" s="6" t="n">
        <v>107</v>
      </c>
      <c r="G275" s="7" t="n">
        <v>0.598130841121495</v>
      </c>
      <c r="H275" s="8" t="n">
        <v>104128</v>
      </c>
      <c r="I275" s="8" t="n">
        <v>1627</v>
      </c>
      <c r="J275" s="7" t="n">
        <v>0.401869158878505</v>
      </c>
    </row>
    <row r="276" customFormat="false" ht="15" hidden="false" customHeight="true" outlineLevel="0" collapsed="false">
      <c r="A276" s="4" t="s">
        <v>304</v>
      </c>
      <c r="B276" s="5" t="s">
        <v>283</v>
      </c>
      <c r="C276" s="5" t="s">
        <v>44</v>
      </c>
      <c r="D276" s="5" t="s">
        <v>14</v>
      </c>
      <c r="E276" s="6" t="n">
        <v>5158</v>
      </c>
      <c r="F276" s="6"/>
      <c r="G276" s="7"/>
      <c r="H276" s="8"/>
      <c r="I276" s="8"/>
      <c r="J276" s="7"/>
    </row>
    <row r="277" customFormat="false" ht="15" hidden="false" customHeight="true" outlineLevel="0" collapsed="false">
      <c r="A277" s="4" t="s">
        <v>305</v>
      </c>
      <c r="B277" s="5" t="s">
        <v>283</v>
      </c>
      <c r="C277" s="5" t="s">
        <v>44</v>
      </c>
      <c r="D277" s="5" t="s">
        <v>16</v>
      </c>
      <c r="E277" s="6" t="n">
        <v>2564</v>
      </c>
      <c r="F277" s="6" t="n">
        <v>5158</v>
      </c>
      <c r="G277" s="7" t="n">
        <v>0.497091896083753</v>
      </c>
      <c r="H277" s="8"/>
      <c r="I277" s="8"/>
      <c r="J277" s="7" t="n">
        <v>0.502908103916247</v>
      </c>
    </row>
    <row r="278" customFormat="false" ht="15" hidden="false" customHeight="true" outlineLevel="0" collapsed="false">
      <c r="A278" s="4" t="s">
        <v>306</v>
      </c>
      <c r="B278" s="5" t="s">
        <v>283</v>
      </c>
      <c r="C278" s="5" t="s">
        <v>44</v>
      </c>
      <c r="D278" s="5" t="s">
        <v>18</v>
      </c>
      <c r="E278" s="6" t="n">
        <v>723</v>
      </c>
      <c r="F278" s="6" t="n">
        <v>2564</v>
      </c>
      <c r="G278" s="7" t="n">
        <v>0.28198127925117</v>
      </c>
      <c r="H278" s="8"/>
      <c r="I278" s="8"/>
      <c r="J278" s="7" t="n">
        <v>0.71801872074883</v>
      </c>
    </row>
    <row r="279" customFormat="false" ht="15" hidden="false" customHeight="true" outlineLevel="0" collapsed="false">
      <c r="A279" s="4" t="s">
        <v>307</v>
      </c>
      <c r="B279" s="5" t="s">
        <v>283</v>
      </c>
      <c r="C279" s="5" t="s">
        <v>44</v>
      </c>
      <c r="D279" s="5" t="s">
        <v>20</v>
      </c>
      <c r="E279" s="6" t="n">
        <v>538</v>
      </c>
      <c r="F279" s="6" t="n">
        <v>723</v>
      </c>
      <c r="G279" s="7" t="n">
        <v>0.744121715076072</v>
      </c>
      <c r="H279" s="8"/>
      <c r="I279" s="8"/>
      <c r="J279" s="7" t="n">
        <v>0.255878284923928</v>
      </c>
    </row>
    <row r="280" customFormat="false" ht="15" hidden="false" customHeight="true" outlineLevel="0" collapsed="false">
      <c r="A280" s="4" t="s">
        <v>308</v>
      </c>
      <c r="B280" s="5" t="s">
        <v>283</v>
      </c>
      <c r="C280" s="5" t="s">
        <v>44</v>
      </c>
      <c r="D280" s="5" t="s">
        <v>22</v>
      </c>
      <c r="E280" s="6" t="n">
        <v>224</v>
      </c>
      <c r="F280" s="6" t="n">
        <v>538</v>
      </c>
      <c r="G280" s="7" t="n">
        <v>0.41635687732342</v>
      </c>
      <c r="H280" s="8"/>
      <c r="I280" s="8"/>
      <c r="J280" s="7" t="n">
        <v>0.58364312267658</v>
      </c>
    </row>
    <row r="281" customFormat="false" ht="15" hidden="false" customHeight="true" outlineLevel="0" collapsed="false">
      <c r="A281" s="4" t="s">
        <v>309</v>
      </c>
      <c r="B281" s="5" t="s">
        <v>283</v>
      </c>
      <c r="C281" s="5" t="s">
        <v>44</v>
      </c>
      <c r="D281" s="5" t="s">
        <v>24</v>
      </c>
      <c r="E281" s="6" t="n">
        <v>137</v>
      </c>
      <c r="F281" s="6" t="n">
        <v>224</v>
      </c>
      <c r="G281" s="7" t="n">
        <v>0.611607142857143</v>
      </c>
      <c r="H281" s="8"/>
      <c r="I281" s="8"/>
      <c r="J281" s="7" t="n">
        <v>0.388392857142857</v>
      </c>
    </row>
    <row r="282" customFormat="false" ht="15" hidden="false" customHeight="true" outlineLevel="0" collapsed="false">
      <c r="A282" s="4" t="s">
        <v>310</v>
      </c>
      <c r="B282" s="5" t="s">
        <v>283</v>
      </c>
      <c r="C282" s="5" t="s">
        <v>44</v>
      </c>
      <c r="D282" s="5" t="s">
        <v>26</v>
      </c>
      <c r="E282" s="6" t="n">
        <v>93</v>
      </c>
      <c r="F282" s="6" t="n">
        <v>137</v>
      </c>
      <c r="G282" s="7" t="n">
        <v>0.678832116788321</v>
      </c>
      <c r="H282" s="8" t="n">
        <v>75609</v>
      </c>
      <c r="I282" s="8" t="n">
        <v>813</v>
      </c>
      <c r="J282" s="7" t="n">
        <v>0.321167883211679</v>
      </c>
    </row>
    <row r="283" customFormat="false" ht="15" hidden="false" customHeight="true" outlineLevel="0" collapsed="false">
      <c r="A283" s="4" t="s">
        <v>311</v>
      </c>
      <c r="B283" s="5" t="s">
        <v>283</v>
      </c>
      <c r="C283" s="5" t="s">
        <v>52</v>
      </c>
      <c r="D283" s="5" t="s">
        <v>14</v>
      </c>
      <c r="E283" s="6" t="n">
        <v>13544</v>
      </c>
      <c r="F283" s="6"/>
      <c r="G283" s="7"/>
      <c r="H283" s="8"/>
      <c r="I283" s="8"/>
      <c r="J283" s="7"/>
    </row>
    <row r="284" customFormat="false" ht="15" hidden="false" customHeight="true" outlineLevel="0" collapsed="false">
      <c r="A284" s="4" t="s">
        <v>312</v>
      </c>
      <c r="B284" s="5" t="s">
        <v>283</v>
      </c>
      <c r="C284" s="5" t="s">
        <v>52</v>
      </c>
      <c r="D284" s="5" t="s">
        <v>16</v>
      </c>
      <c r="E284" s="6" t="n">
        <v>7216</v>
      </c>
      <c r="F284" s="6" t="n">
        <v>13544</v>
      </c>
      <c r="G284" s="7" t="n">
        <v>0.532782043709392</v>
      </c>
      <c r="H284" s="8"/>
      <c r="I284" s="8"/>
      <c r="J284" s="7" t="n">
        <v>0.467217956290608</v>
      </c>
    </row>
    <row r="285" customFormat="false" ht="15" hidden="false" customHeight="true" outlineLevel="0" collapsed="false">
      <c r="A285" s="4" t="s">
        <v>313</v>
      </c>
      <c r="B285" s="5" t="s">
        <v>283</v>
      </c>
      <c r="C285" s="5" t="s">
        <v>52</v>
      </c>
      <c r="D285" s="5" t="s">
        <v>18</v>
      </c>
      <c r="E285" s="6" t="n">
        <v>2484</v>
      </c>
      <c r="F285" s="6" t="n">
        <v>7216</v>
      </c>
      <c r="G285" s="7" t="n">
        <v>0.344235033259424</v>
      </c>
      <c r="H285" s="8"/>
      <c r="I285" s="8"/>
      <c r="J285" s="7" t="n">
        <v>0.655764966740577</v>
      </c>
    </row>
    <row r="286" customFormat="false" ht="15" hidden="false" customHeight="true" outlineLevel="0" collapsed="false">
      <c r="A286" s="4" t="s">
        <v>314</v>
      </c>
      <c r="B286" s="5" t="s">
        <v>283</v>
      </c>
      <c r="C286" s="5" t="s">
        <v>52</v>
      </c>
      <c r="D286" s="5" t="s">
        <v>20</v>
      </c>
      <c r="E286" s="6" t="n">
        <v>1588</v>
      </c>
      <c r="F286" s="6" t="n">
        <v>2484</v>
      </c>
      <c r="G286" s="7" t="n">
        <v>0.639291465378422</v>
      </c>
      <c r="H286" s="8"/>
      <c r="I286" s="8"/>
      <c r="J286" s="7" t="n">
        <v>0.360708534621578</v>
      </c>
    </row>
    <row r="287" customFormat="false" ht="15" hidden="false" customHeight="true" outlineLevel="0" collapsed="false">
      <c r="A287" s="4" t="s">
        <v>315</v>
      </c>
      <c r="B287" s="5" t="s">
        <v>283</v>
      </c>
      <c r="C287" s="5" t="s">
        <v>52</v>
      </c>
      <c r="D287" s="5" t="s">
        <v>22</v>
      </c>
      <c r="E287" s="6" t="n">
        <v>642</v>
      </c>
      <c r="F287" s="6" t="n">
        <v>1588</v>
      </c>
      <c r="G287" s="7" t="n">
        <v>0.404282115869018</v>
      </c>
      <c r="H287" s="8"/>
      <c r="I287" s="8"/>
      <c r="J287" s="7" t="n">
        <v>0.595717884130982</v>
      </c>
    </row>
    <row r="288" customFormat="false" ht="15" hidden="false" customHeight="true" outlineLevel="0" collapsed="false">
      <c r="A288" s="4" t="s">
        <v>316</v>
      </c>
      <c r="B288" s="5" t="s">
        <v>283</v>
      </c>
      <c r="C288" s="5" t="s">
        <v>52</v>
      </c>
      <c r="D288" s="5" t="s">
        <v>24</v>
      </c>
      <c r="E288" s="6" t="n">
        <v>354</v>
      </c>
      <c r="F288" s="6" t="n">
        <v>642</v>
      </c>
      <c r="G288" s="7" t="n">
        <v>0.551401869158879</v>
      </c>
      <c r="H288" s="8"/>
      <c r="I288" s="8"/>
      <c r="J288" s="7" t="n">
        <v>0.448598130841122</v>
      </c>
    </row>
    <row r="289" customFormat="false" ht="15" hidden="false" customHeight="true" outlineLevel="0" collapsed="false">
      <c r="A289" s="4" t="s">
        <v>317</v>
      </c>
      <c r="B289" s="5" t="s">
        <v>283</v>
      </c>
      <c r="C289" s="5" t="s">
        <v>52</v>
      </c>
      <c r="D289" s="5" t="s">
        <v>26</v>
      </c>
      <c r="E289" s="6" t="n">
        <v>242</v>
      </c>
      <c r="F289" s="6" t="n">
        <v>354</v>
      </c>
      <c r="G289" s="7" t="n">
        <v>0.68361581920904</v>
      </c>
      <c r="H289" s="8" t="n">
        <v>667436</v>
      </c>
      <c r="I289" s="8" t="n">
        <v>2758</v>
      </c>
      <c r="J289" s="7" t="n">
        <v>0.31638418079096</v>
      </c>
    </row>
    <row r="290" customFormat="false" ht="15" hidden="false" customHeight="true" outlineLevel="0" collapsed="false">
      <c r="A290" s="4" t="s">
        <v>318</v>
      </c>
      <c r="B290" s="5" t="s">
        <v>283</v>
      </c>
      <c r="C290" s="5" t="s">
        <v>60</v>
      </c>
      <c r="D290" s="5" t="s">
        <v>14</v>
      </c>
      <c r="E290" s="6" t="n">
        <v>13030</v>
      </c>
      <c r="F290" s="6"/>
      <c r="G290" s="7"/>
      <c r="H290" s="8"/>
      <c r="I290" s="8"/>
      <c r="J290" s="7"/>
    </row>
    <row r="291" customFormat="false" ht="15" hidden="false" customHeight="true" outlineLevel="0" collapsed="false">
      <c r="A291" s="4" t="s">
        <v>319</v>
      </c>
      <c r="B291" s="5" t="s">
        <v>283</v>
      </c>
      <c r="C291" s="5" t="s">
        <v>60</v>
      </c>
      <c r="D291" s="5" t="s">
        <v>16</v>
      </c>
      <c r="E291" s="6" t="n">
        <v>7170</v>
      </c>
      <c r="F291" s="6" t="n">
        <v>13030</v>
      </c>
      <c r="G291" s="7" t="n">
        <v>0.550268610897928</v>
      </c>
      <c r="H291" s="8"/>
      <c r="I291" s="8"/>
      <c r="J291" s="7" t="n">
        <v>0.449731389102072</v>
      </c>
    </row>
    <row r="292" customFormat="false" ht="15" hidden="false" customHeight="true" outlineLevel="0" collapsed="false">
      <c r="A292" s="4" t="s">
        <v>320</v>
      </c>
      <c r="B292" s="5" t="s">
        <v>283</v>
      </c>
      <c r="C292" s="5" t="s">
        <v>60</v>
      </c>
      <c r="D292" s="5" t="s">
        <v>18</v>
      </c>
      <c r="E292" s="6" t="n">
        <v>1978</v>
      </c>
      <c r="F292" s="6" t="n">
        <v>7170</v>
      </c>
      <c r="G292" s="7" t="n">
        <v>0.275871687587169</v>
      </c>
      <c r="H292" s="8"/>
      <c r="I292" s="8"/>
      <c r="J292" s="7" t="n">
        <v>0.724128312412831</v>
      </c>
    </row>
    <row r="293" customFormat="false" ht="15" hidden="false" customHeight="true" outlineLevel="0" collapsed="false">
      <c r="A293" s="4" t="s">
        <v>321</v>
      </c>
      <c r="B293" s="5" t="s">
        <v>283</v>
      </c>
      <c r="C293" s="5" t="s">
        <v>60</v>
      </c>
      <c r="D293" s="5" t="s">
        <v>20</v>
      </c>
      <c r="E293" s="6" t="n">
        <v>1313</v>
      </c>
      <c r="F293" s="6" t="n">
        <v>1978</v>
      </c>
      <c r="G293" s="7" t="n">
        <v>0.663801820020223</v>
      </c>
      <c r="H293" s="8"/>
      <c r="I293" s="8"/>
      <c r="J293" s="7" t="n">
        <v>0.336198179979778</v>
      </c>
    </row>
    <row r="294" customFormat="false" ht="15" hidden="false" customHeight="true" outlineLevel="0" collapsed="false">
      <c r="A294" s="4" t="s">
        <v>322</v>
      </c>
      <c r="B294" s="5" t="s">
        <v>283</v>
      </c>
      <c r="C294" s="5" t="s">
        <v>60</v>
      </c>
      <c r="D294" s="5" t="s">
        <v>22</v>
      </c>
      <c r="E294" s="6" t="n">
        <v>539</v>
      </c>
      <c r="F294" s="6" t="n">
        <v>1313</v>
      </c>
      <c r="G294" s="7" t="n">
        <v>0.410510281797411</v>
      </c>
      <c r="H294" s="8"/>
      <c r="I294" s="8"/>
      <c r="J294" s="7" t="n">
        <v>0.58948971820259</v>
      </c>
    </row>
    <row r="295" customFormat="false" ht="15" hidden="false" customHeight="true" outlineLevel="0" collapsed="false">
      <c r="A295" s="4" t="s">
        <v>323</v>
      </c>
      <c r="B295" s="5" t="s">
        <v>283</v>
      </c>
      <c r="C295" s="5" t="s">
        <v>60</v>
      </c>
      <c r="D295" s="5" t="s">
        <v>24</v>
      </c>
      <c r="E295" s="6" t="n">
        <v>357</v>
      </c>
      <c r="F295" s="6" t="n">
        <v>539</v>
      </c>
      <c r="G295" s="7" t="n">
        <v>0.662337662337662</v>
      </c>
      <c r="H295" s="8"/>
      <c r="I295" s="8"/>
      <c r="J295" s="7" t="n">
        <v>0.337662337662338</v>
      </c>
    </row>
    <row r="296" customFormat="false" ht="15" hidden="false" customHeight="true" outlineLevel="0" collapsed="false">
      <c r="A296" s="4" t="s">
        <v>324</v>
      </c>
      <c r="B296" s="5" t="s">
        <v>283</v>
      </c>
      <c r="C296" s="5" t="s">
        <v>60</v>
      </c>
      <c r="D296" s="5" t="s">
        <v>26</v>
      </c>
      <c r="E296" s="6" t="n">
        <v>245</v>
      </c>
      <c r="F296" s="6" t="n">
        <v>357</v>
      </c>
      <c r="G296" s="7" t="n">
        <v>0.686274509803922</v>
      </c>
      <c r="H296" s="8" t="n">
        <v>398370</v>
      </c>
      <c r="I296" s="8" t="n">
        <v>1626</v>
      </c>
      <c r="J296" s="7" t="n">
        <v>0.313725490196078</v>
      </c>
    </row>
    <row r="297" customFormat="false" ht="15" hidden="false" customHeight="true" outlineLevel="0" collapsed="false">
      <c r="A297" s="4" t="s">
        <v>325</v>
      </c>
      <c r="B297" s="5" t="s">
        <v>326</v>
      </c>
      <c r="C297" s="5" t="s">
        <v>13</v>
      </c>
      <c r="D297" s="5" t="s">
        <v>14</v>
      </c>
      <c r="E297" s="6" t="n">
        <v>5843</v>
      </c>
      <c r="F297" s="6"/>
      <c r="G297" s="7"/>
      <c r="H297" s="8"/>
      <c r="I297" s="8"/>
      <c r="J297" s="7"/>
    </row>
    <row r="298" customFormat="false" ht="15" hidden="false" customHeight="true" outlineLevel="0" collapsed="false">
      <c r="A298" s="4" t="s">
        <v>327</v>
      </c>
      <c r="B298" s="5" t="s">
        <v>326</v>
      </c>
      <c r="C298" s="5" t="s">
        <v>13</v>
      </c>
      <c r="D298" s="5" t="s">
        <v>16</v>
      </c>
      <c r="E298" s="6" t="n">
        <v>3443</v>
      </c>
      <c r="F298" s="6" t="n">
        <v>5843</v>
      </c>
      <c r="G298" s="7" t="n">
        <v>0.589252096525757</v>
      </c>
      <c r="H298" s="8"/>
      <c r="I298" s="8"/>
      <c r="J298" s="7" t="n">
        <v>0.410747903474243</v>
      </c>
    </row>
    <row r="299" customFormat="false" ht="15" hidden="false" customHeight="true" outlineLevel="0" collapsed="false">
      <c r="A299" s="4" t="s">
        <v>328</v>
      </c>
      <c r="B299" s="5" t="s">
        <v>326</v>
      </c>
      <c r="C299" s="5" t="s">
        <v>13</v>
      </c>
      <c r="D299" s="5" t="s">
        <v>18</v>
      </c>
      <c r="E299" s="6" t="n">
        <v>954</v>
      </c>
      <c r="F299" s="6" t="n">
        <v>3443</v>
      </c>
      <c r="G299" s="7" t="n">
        <v>0.277083938425792</v>
      </c>
      <c r="H299" s="8"/>
      <c r="I299" s="8"/>
      <c r="J299" s="7" t="n">
        <v>0.722916061574209</v>
      </c>
    </row>
    <row r="300" customFormat="false" ht="15" hidden="false" customHeight="true" outlineLevel="0" collapsed="false">
      <c r="A300" s="4" t="s">
        <v>329</v>
      </c>
      <c r="B300" s="5" t="s">
        <v>326</v>
      </c>
      <c r="C300" s="5" t="s">
        <v>13</v>
      </c>
      <c r="D300" s="5" t="s">
        <v>20</v>
      </c>
      <c r="E300" s="6" t="n">
        <v>683</v>
      </c>
      <c r="F300" s="6" t="n">
        <v>954</v>
      </c>
      <c r="G300" s="7" t="n">
        <v>0.715932914046122</v>
      </c>
      <c r="H300" s="8"/>
      <c r="I300" s="8"/>
      <c r="J300" s="7" t="n">
        <v>0.284067085953878</v>
      </c>
    </row>
    <row r="301" customFormat="false" ht="15" hidden="false" customHeight="true" outlineLevel="0" collapsed="false">
      <c r="A301" s="4" t="s">
        <v>330</v>
      </c>
      <c r="B301" s="5" t="s">
        <v>326</v>
      </c>
      <c r="C301" s="5" t="s">
        <v>13</v>
      </c>
      <c r="D301" s="5" t="s">
        <v>22</v>
      </c>
      <c r="E301" s="6" t="n">
        <v>284</v>
      </c>
      <c r="F301" s="6" t="n">
        <v>683</v>
      </c>
      <c r="G301" s="7" t="n">
        <v>0.415812591508053</v>
      </c>
      <c r="H301" s="8"/>
      <c r="I301" s="8"/>
      <c r="J301" s="7" t="n">
        <v>0.584187408491947</v>
      </c>
    </row>
    <row r="302" customFormat="false" ht="15" hidden="false" customHeight="true" outlineLevel="0" collapsed="false">
      <c r="A302" s="4" t="s">
        <v>331</v>
      </c>
      <c r="B302" s="5" t="s">
        <v>326</v>
      </c>
      <c r="C302" s="5" t="s">
        <v>13</v>
      </c>
      <c r="D302" s="5" t="s">
        <v>24</v>
      </c>
      <c r="E302" s="6" t="n">
        <v>178</v>
      </c>
      <c r="F302" s="6" t="n">
        <v>284</v>
      </c>
      <c r="G302" s="7" t="n">
        <v>0.626760563380282</v>
      </c>
      <c r="H302" s="8"/>
      <c r="I302" s="8"/>
      <c r="J302" s="7" t="n">
        <v>0.373239436619718</v>
      </c>
    </row>
    <row r="303" customFormat="false" ht="15" hidden="false" customHeight="true" outlineLevel="0" collapsed="false">
      <c r="A303" s="4" t="s">
        <v>332</v>
      </c>
      <c r="B303" s="5" t="s">
        <v>326</v>
      </c>
      <c r="C303" s="5" t="s">
        <v>13</v>
      </c>
      <c r="D303" s="5" t="s">
        <v>26</v>
      </c>
      <c r="E303" s="6" t="n">
        <v>131</v>
      </c>
      <c r="F303" s="6" t="n">
        <v>178</v>
      </c>
      <c r="G303" s="7" t="n">
        <v>0.735955056179775</v>
      </c>
      <c r="H303" s="8" t="n">
        <v>375446</v>
      </c>
      <c r="I303" s="8" t="n">
        <v>2866</v>
      </c>
      <c r="J303" s="7" t="n">
        <v>0.264044943820225</v>
      </c>
    </row>
    <row r="304" customFormat="false" ht="15" hidden="false" customHeight="true" outlineLevel="0" collapsed="false">
      <c r="A304" s="4" t="s">
        <v>333</v>
      </c>
      <c r="B304" s="5" t="s">
        <v>326</v>
      </c>
      <c r="C304" s="5" t="s">
        <v>28</v>
      </c>
      <c r="D304" s="5" t="s">
        <v>14</v>
      </c>
      <c r="E304" s="6" t="n">
        <v>11900</v>
      </c>
      <c r="F304" s="6"/>
      <c r="G304" s="7"/>
      <c r="H304" s="8"/>
      <c r="I304" s="8"/>
      <c r="J304" s="7"/>
    </row>
    <row r="305" customFormat="false" ht="15" hidden="false" customHeight="true" outlineLevel="0" collapsed="false">
      <c r="A305" s="4" t="s">
        <v>334</v>
      </c>
      <c r="B305" s="5" t="s">
        <v>326</v>
      </c>
      <c r="C305" s="5" t="s">
        <v>28</v>
      </c>
      <c r="D305" s="5" t="s">
        <v>16</v>
      </c>
      <c r="E305" s="6" t="n">
        <v>6035</v>
      </c>
      <c r="F305" s="6" t="n">
        <v>11900</v>
      </c>
      <c r="G305" s="7" t="n">
        <v>0.507142857142857</v>
      </c>
      <c r="H305" s="8"/>
      <c r="I305" s="8"/>
      <c r="J305" s="7" t="n">
        <v>0.492857142857143</v>
      </c>
    </row>
    <row r="306" customFormat="false" ht="15" hidden="false" customHeight="true" outlineLevel="0" collapsed="false">
      <c r="A306" s="4" t="s">
        <v>335</v>
      </c>
      <c r="B306" s="5" t="s">
        <v>326</v>
      </c>
      <c r="C306" s="5" t="s">
        <v>28</v>
      </c>
      <c r="D306" s="5" t="s">
        <v>18</v>
      </c>
      <c r="E306" s="6" t="n">
        <v>1662</v>
      </c>
      <c r="F306" s="6" t="n">
        <v>6035</v>
      </c>
      <c r="G306" s="7" t="n">
        <v>0.275393537696769</v>
      </c>
      <c r="H306" s="8"/>
      <c r="I306" s="8"/>
      <c r="J306" s="7" t="n">
        <v>0.724606462303231</v>
      </c>
    </row>
    <row r="307" customFormat="false" ht="15" hidden="false" customHeight="true" outlineLevel="0" collapsed="false">
      <c r="A307" s="4" t="s">
        <v>336</v>
      </c>
      <c r="B307" s="5" t="s">
        <v>326</v>
      </c>
      <c r="C307" s="5" t="s">
        <v>28</v>
      </c>
      <c r="D307" s="5" t="s">
        <v>20</v>
      </c>
      <c r="E307" s="6" t="n">
        <v>1146</v>
      </c>
      <c r="F307" s="6" t="n">
        <v>1662</v>
      </c>
      <c r="G307" s="7" t="n">
        <v>0.689530685920578</v>
      </c>
      <c r="H307" s="8"/>
      <c r="I307" s="8"/>
      <c r="J307" s="7" t="n">
        <v>0.310469314079422</v>
      </c>
    </row>
    <row r="308" customFormat="false" ht="15" hidden="false" customHeight="true" outlineLevel="0" collapsed="false">
      <c r="A308" s="4" t="s">
        <v>337</v>
      </c>
      <c r="B308" s="5" t="s">
        <v>326</v>
      </c>
      <c r="C308" s="5" t="s">
        <v>28</v>
      </c>
      <c r="D308" s="5" t="s">
        <v>22</v>
      </c>
      <c r="E308" s="6" t="n">
        <v>499</v>
      </c>
      <c r="F308" s="6" t="n">
        <v>1146</v>
      </c>
      <c r="G308" s="7" t="n">
        <v>0.43542757417103</v>
      </c>
      <c r="H308" s="8"/>
      <c r="I308" s="8"/>
      <c r="J308" s="7" t="n">
        <v>0.56457242582897</v>
      </c>
    </row>
    <row r="309" customFormat="false" ht="15" hidden="false" customHeight="true" outlineLevel="0" collapsed="false">
      <c r="A309" s="4" t="s">
        <v>338</v>
      </c>
      <c r="B309" s="5" t="s">
        <v>326</v>
      </c>
      <c r="C309" s="5" t="s">
        <v>28</v>
      </c>
      <c r="D309" s="5" t="s">
        <v>24</v>
      </c>
      <c r="E309" s="6" t="n">
        <v>304</v>
      </c>
      <c r="F309" s="6" t="n">
        <v>499</v>
      </c>
      <c r="G309" s="7" t="n">
        <v>0.609218436873748</v>
      </c>
      <c r="H309" s="8"/>
      <c r="I309" s="8"/>
      <c r="J309" s="7" t="n">
        <v>0.390781563126253</v>
      </c>
    </row>
    <row r="310" customFormat="false" ht="15" hidden="false" customHeight="true" outlineLevel="0" collapsed="false">
      <c r="A310" s="4" t="s">
        <v>339</v>
      </c>
      <c r="B310" s="5" t="s">
        <v>326</v>
      </c>
      <c r="C310" s="5" t="s">
        <v>28</v>
      </c>
      <c r="D310" s="5" t="s">
        <v>26</v>
      </c>
      <c r="E310" s="6" t="n">
        <v>196</v>
      </c>
      <c r="F310" s="6" t="n">
        <v>304</v>
      </c>
      <c r="G310" s="7" t="n">
        <v>0.644736842105263</v>
      </c>
      <c r="H310" s="8" t="n">
        <v>416892</v>
      </c>
      <c r="I310" s="8" t="n">
        <v>2127</v>
      </c>
      <c r="J310" s="7" t="n">
        <v>0.355263157894737</v>
      </c>
    </row>
    <row r="311" customFormat="false" ht="15" hidden="false" customHeight="true" outlineLevel="0" collapsed="false">
      <c r="A311" s="4" t="s">
        <v>340</v>
      </c>
      <c r="B311" s="5" t="s">
        <v>326</v>
      </c>
      <c r="C311" s="5" t="s">
        <v>36</v>
      </c>
      <c r="D311" s="5" t="s">
        <v>14</v>
      </c>
      <c r="E311" s="6" t="n">
        <v>12250</v>
      </c>
      <c r="F311" s="6"/>
      <c r="G311" s="7"/>
      <c r="H311" s="8"/>
      <c r="I311" s="8"/>
      <c r="J311" s="7"/>
    </row>
    <row r="312" customFormat="false" ht="15" hidden="false" customHeight="true" outlineLevel="0" collapsed="false">
      <c r="A312" s="4" t="s">
        <v>341</v>
      </c>
      <c r="B312" s="5" t="s">
        <v>326</v>
      </c>
      <c r="C312" s="5" t="s">
        <v>36</v>
      </c>
      <c r="D312" s="5" t="s">
        <v>16</v>
      </c>
      <c r="E312" s="6" t="n">
        <v>6109</v>
      </c>
      <c r="F312" s="6" t="n">
        <v>12250</v>
      </c>
      <c r="G312" s="7" t="n">
        <v>0.49869387755102</v>
      </c>
      <c r="H312" s="8"/>
      <c r="I312" s="8"/>
      <c r="J312" s="7" t="n">
        <v>0.50130612244898</v>
      </c>
    </row>
    <row r="313" customFormat="false" ht="15" hidden="false" customHeight="true" outlineLevel="0" collapsed="false">
      <c r="A313" s="4" t="s">
        <v>342</v>
      </c>
      <c r="B313" s="5" t="s">
        <v>326</v>
      </c>
      <c r="C313" s="5" t="s">
        <v>36</v>
      </c>
      <c r="D313" s="5" t="s">
        <v>18</v>
      </c>
      <c r="E313" s="6" t="n">
        <v>1994</v>
      </c>
      <c r="F313" s="6" t="n">
        <v>6109</v>
      </c>
      <c r="G313" s="7" t="n">
        <v>0.326403666721231</v>
      </c>
      <c r="H313" s="8"/>
      <c r="I313" s="8"/>
      <c r="J313" s="7" t="n">
        <v>0.673596333278769</v>
      </c>
    </row>
    <row r="314" customFormat="false" ht="15" hidden="false" customHeight="true" outlineLevel="0" collapsed="false">
      <c r="A314" s="4" t="s">
        <v>343</v>
      </c>
      <c r="B314" s="5" t="s">
        <v>326</v>
      </c>
      <c r="C314" s="5" t="s">
        <v>36</v>
      </c>
      <c r="D314" s="5" t="s">
        <v>20</v>
      </c>
      <c r="E314" s="6" t="n">
        <v>1113</v>
      </c>
      <c r="F314" s="6" t="n">
        <v>1994</v>
      </c>
      <c r="G314" s="7" t="n">
        <v>0.558174523570712</v>
      </c>
      <c r="H314" s="8"/>
      <c r="I314" s="8"/>
      <c r="J314" s="7" t="n">
        <v>0.441825476429288</v>
      </c>
    </row>
    <row r="315" customFormat="false" ht="15" hidden="false" customHeight="true" outlineLevel="0" collapsed="false">
      <c r="A315" s="4" t="s">
        <v>344</v>
      </c>
      <c r="B315" s="5" t="s">
        <v>326</v>
      </c>
      <c r="C315" s="5" t="s">
        <v>36</v>
      </c>
      <c r="D315" s="5" t="s">
        <v>22</v>
      </c>
      <c r="E315" s="6" t="n">
        <v>431</v>
      </c>
      <c r="F315" s="6" t="n">
        <v>1113</v>
      </c>
      <c r="G315" s="7" t="n">
        <v>0.387241689128482</v>
      </c>
      <c r="H315" s="8"/>
      <c r="I315" s="8"/>
      <c r="J315" s="7" t="n">
        <v>0.612758310871518</v>
      </c>
    </row>
    <row r="316" customFormat="false" ht="15" hidden="false" customHeight="true" outlineLevel="0" collapsed="false">
      <c r="A316" s="4" t="s">
        <v>345</v>
      </c>
      <c r="B316" s="5" t="s">
        <v>326</v>
      </c>
      <c r="C316" s="5" t="s">
        <v>36</v>
      </c>
      <c r="D316" s="5" t="s">
        <v>24</v>
      </c>
      <c r="E316" s="6" t="n">
        <v>224</v>
      </c>
      <c r="F316" s="6" t="n">
        <v>431</v>
      </c>
      <c r="G316" s="7" t="n">
        <v>0.519721577726218</v>
      </c>
      <c r="H316" s="8"/>
      <c r="I316" s="8"/>
      <c r="J316" s="7" t="n">
        <v>0.480278422273782</v>
      </c>
    </row>
    <row r="317" customFormat="false" ht="15" hidden="false" customHeight="true" outlineLevel="0" collapsed="false">
      <c r="A317" s="4" t="s">
        <v>346</v>
      </c>
      <c r="B317" s="5" t="s">
        <v>326</v>
      </c>
      <c r="C317" s="5" t="s">
        <v>36</v>
      </c>
      <c r="D317" s="5" t="s">
        <v>26</v>
      </c>
      <c r="E317" s="6" t="n">
        <v>142</v>
      </c>
      <c r="F317" s="6" t="n">
        <v>224</v>
      </c>
      <c r="G317" s="7" t="n">
        <v>0.633928571428571</v>
      </c>
      <c r="H317" s="8" t="n">
        <v>142568</v>
      </c>
      <c r="I317" s="8" t="n">
        <v>1004</v>
      </c>
      <c r="J317" s="7" t="n">
        <v>0.366071428571429</v>
      </c>
    </row>
    <row r="318" customFormat="false" ht="15" hidden="false" customHeight="true" outlineLevel="0" collapsed="false">
      <c r="A318" s="4" t="s">
        <v>347</v>
      </c>
      <c r="B318" s="5" t="s">
        <v>326</v>
      </c>
      <c r="C318" s="5" t="s">
        <v>44</v>
      </c>
      <c r="D318" s="5" t="s">
        <v>14</v>
      </c>
      <c r="E318" s="6" t="n">
        <v>13863</v>
      </c>
      <c r="F318" s="6"/>
      <c r="G318" s="7"/>
      <c r="H318" s="8"/>
      <c r="I318" s="8"/>
      <c r="J318" s="7"/>
    </row>
    <row r="319" customFormat="false" ht="15" hidden="false" customHeight="true" outlineLevel="0" collapsed="false">
      <c r="A319" s="4" t="s">
        <v>348</v>
      </c>
      <c r="B319" s="5" t="s">
        <v>326</v>
      </c>
      <c r="C319" s="5" t="s">
        <v>44</v>
      </c>
      <c r="D319" s="5" t="s">
        <v>16</v>
      </c>
      <c r="E319" s="6" t="n">
        <v>7094</v>
      </c>
      <c r="F319" s="6" t="n">
        <v>13863</v>
      </c>
      <c r="G319" s="7" t="n">
        <v>0.511721849527519</v>
      </c>
      <c r="H319" s="8"/>
      <c r="I319" s="8"/>
      <c r="J319" s="7" t="n">
        <v>0.488278150472481</v>
      </c>
    </row>
    <row r="320" customFormat="false" ht="15" hidden="false" customHeight="true" outlineLevel="0" collapsed="false">
      <c r="A320" s="4" t="s">
        <v>349</v>
      </c>
      <c r="B320" s="5" t="s">
        <v>326</v>
      </c>
      <c r="C320" s="5" t="s">
        <v>44</v>
      </c>
      <c r="D320" s="5" t="s">
        <v>18</v>
      </c>
      <c r="E320" s="6" t="n">
        <v>2398</v>
      </c>
      <c r="F320" s="6" t="n">
        <v>7094</v>
      </c>
      <c r="G320" s="7" t="n">
        <v>0.338032139836482</v>
      </c>
      <c r="H320" s="8"/>
      <c r="I320" s="8"/>
      <c r="J320" s="7" t="n">
        <v>0.661967860163518</v>
      </c>
    </row>
    <row r="321" customFormat="false" ht="15" hidden="false" customHeight="true" outlineLevel="0" collapsed="false">
      <c r="A321" s="4" t="s">
        <v>350</v>
      </c>
      <c r="B321" s="5" t="s">
        <v>326</v>
      </c>
      <c r="C321" s="5" t="s">
        <v>44</v>
      </c>
      <c r="D321" s="5" t="s">
        <v>20</v>
      </c>
      <c r="E321" s="6" t="n">
        <v>1444</v>
      </c>
      <c r="F321" s="6" t="n">
        <v>2398</v>
      </c>
      <c r="G321" s="7" t="n">
        <v>0.602168473728107</v>
      </c>
      <c r="H321" s="8"/>
      <c r="I321" s="8"/>
      <c r="J321" s="7" t="n">
        <v>0.397831526271893</v>
      </c>
    </row>
    <row r="322" customFormat="false" ht="15" hidden="false" customHeight="true" outlineLevel="0" collapsed="false">
      <c r="A322" s="4" t="s">
        <v>351</v>
      </c>
      <c r="B322" s="5" t="s">
        <v>326</v>
      </c>
      <c r="C322" s="5" t="s">
        <v>44</v>
      </c>
      <c r="D322" s="5" t="s">
        <v>22</v>
      </c>
      <c r="E322" s="6" t="n">
        <v>664</v>
      </c>
      <c r="F322" s="6" t="n">
        <v>1444</v>
      </c>
      <c r="G322" s="7" t="n">
        <v>0.45983379501385</v>
      </c>
      <c r="H322" s="8"/>
      <c r="I322" s="8"/>
      <c r="J322" s="7" t="n">
        <v>0.54016620498615</v>
      </c>
    </row>
    <row r="323" customFormat="false" ht="15" hidden="false" customHeight="true" outlineLevel="0" collapsed="false">
      <c r="A323" s="4" t="s">
        <v>352</v>
      </c>
      <c r="B323" s="5" t="s">
        <v>326</v>
      </c>
      <c r="C323" s="5" t="s">
        <v>44</v>
      </c>
      <c r="D323" s="5" t="s">
        <v>24</v>
      </c>
      <c r="E323" s="6" t="n">
        <v>373</v>
      </c>
      <c r="F323" s="6" t="n">
        <v>664</v>
      </c>
      <c r="G323" s="7" t="n">
        <v>0.561746987951807</v>
      </c>
      <c r="H323" s="8"/>
      <c r="I323" s="8"/>
      <c r="J323" s="7" t="n">
        <v>0.438253012048193</v>
      </c>
    </row>
    <row r="324" customFormat="false" ht="15" hidden="false" customHeight="true" outlineLevel="0" collapsed="false">
      <c r="A324" s="4" t="s">
        <v>353</v>
      </c>
      <c r="B324" s="5" t="s">
        <v>326</v>
      </c>
      <c r="C324" s="5" t="s">
        <v>44</v>
      </c>
      <c r="D324" s="5" t="s">
        <v>26</v>
      </c>
      <c r="E324" s="6" t="n">
        <v>278</v>
      </c>
      <c r="F324" s="6" t="n">
        <v>373</v>
      </c>
      <c r="G324" s="7" t="n">
        <v>0.745308310991957</v>
      </c>
      <c r="H324" s="8" t="n">
        <v>352226</v>
      </c>
      <c r="I324" s="8" t="n">
        <v>1267</v>
      </c>
      <c r="J324" s="7" t="n">
        <v>0.254691689008043</v>
      </c>
    </row>
    <row r="325" customFormat="false" ht="15" hidden="false" customHeight="true" outlineLevel="0" collapsed="false">
      <c r="A325" s="4" t="s">
        <v>354</v>
      </c>
      <c r="B325" s="5" t="s">
        <v>326</v>
      </c>
      <c r="C325" s="5" t="s">
        <v>52</v>
      </c>
      <c r="D325" s="5" t="s">
        <v>14</v>
      </c>
      <c r="E325" s="6" t="n">
        <v>5609</v>
      </c>
      <c r="F325" s="6"/>
      <c r="G325" s="7"/>
      <c r="H325" s="8"/>
      <c r="I325" s="8"/>
      <c r="J325" s="7"/>
    </row>
    <row r="326" customFormat="false" ht="15" hidden="false" customHeight="true" outlineLevel="0" collapsed="false">
      <c r="A326" s="4" t="s">
        <v>355</v>
      </c>
      <c r="B326" s="5" t="s">
        <v>326</v>
      </c>
      <c r="C326" s="5" t="s">
        <v>52</v>
      </c>
      <c r="D326" s="5" t="s">
        <v>16</v>
      </c>
      <c r="E326" s="6" t="n">
        <v>2753</v>
      </c>
      <c r="F326" s="6" t="n">
        <v>5609</v>
      </c>
      <c r="G326" s="7" t="n">
        <v>0.490818327687645</v>
      </c>
      <c r="H326" s="8"/>
      <c r="I326" s="8"/>
      <c r="J326" s="7" t="n">
        <v>0.509181672312355</v>
      </c>
    </row>
    <row r="327" customFormat="false" ht="15" hidden="false" customHeight="true" outlineLevel="0" collapsed="false">
      <c r="A327" s="4" t="s">
        <v>356</v>
      </c>
      <c r="B327" s="5" t="s">
        <v>326</v>
      </c>
      <c r="C327" s="5" t="s">
        <v>52</v>
      </c>
      <c r="D327" s="5" t="s">
        <v>18</v>
      </c>
      <c r="E327" s="6" t="n">
        <v>777</v>
      </c>
      <c r="F327" s="6" t="n">
        <v>2753</v>
      </c>
      <c r="G327" s="7" t="n">
        <v>0.282237559026517</v>
      </c>
      <c r="H327" s="8"/>
      <c r="I327" s="8"/>
      <c r="J327" s="7" t="n">
        <v>0.717762440973484</v>
      </c>
    </row>
    <row r="328" customFormat="false" ht="15" hidden="false" customHeight="true" outlineLevel="0" collapsed="false">
      <c r="A328" s="4" t="s">
        <v>357</v>
      </c>
      <c r="B328" s="5" t="s">
        <v>326</v>
      </c>
      <c r="C328" s="5" t="s">
        <v>52</v>
      </c>
      <c r="D328" s="5" t="s">
        <v>20</v>
      </c>
      <c r="E328" s="6" t="n">
        <v>468</v>
      </c>
      <c r="F328" s="6" t="n">
        <v>777</v>
      </c>
      <c r="G328" s="7" t="n">
        <v>0.602316602316602</v>
      </c>
      <c r="H328" s="8"/>
      <c r="I328" s="8"/>
      <c r="J328" s="7" t="n">
        <v>0.397683397683398</v>
      </c>
    </row>
    <row r="329" customFormat="false" ht="15" hidden="false" customHeight="true" outlineLevel="0" collapsed="false">
      <c r="A329" s="4" t="s">
        <v>358</v>
      </c>
      <c r="B329" s="5" t="s">
        <v>326</v>
      </c>
      <c r="C329" s="5" t="s">
        <v>52</v>
      </c>
      <c r="D329" s="5" t="s">
        <v>22</v>
      </c>
      <c r="E329" s="6" t="n">
        <v>207</v>
      </c>
      <c r="F329" s="6" t="n">
        <v>468</v>
      </c>
      <c r="G329" s="7" t="n">
        <v>0.442307692307692</v>
      </c>
      <c r="H329" s="8"/>
      <c r="I329" s="8"/>
      <c r="J329" s="7" t="n">
        <v>0.557692307692308</v>
      </c>
    </row>
    <row r="330" customFormat="false" ht="15" hidden="false" customHeight="true" outlineLevel="0" collapsed="false">
      <c r="A330" s="4" t="s">
        <v>359</v>
      </c>
      <c r="B330" s="5" t="s">
        <v>326</v>
      </c>
      <c r="C330" s="5" t="s">
        <v>52</v>
      </c>
      <c r="D330" s="5" t="s">
        <v>24</v>
      </c>
      <c r="E330" s="6" t="n">
        <v>140</v>
      </c>
      <c r="F330" s="6" t="n">
        <v>207</v>
      </c>
      <c r="G330" s="7" t="n">
        <v>0.676328502415459</v>
      </c>
      <c r="H330" s="8"/>
      <c r="I330" s="8"/>
      <c r="J330" s="7" t="n">
        <v>0.323671497584541</v>
      </c>
    </row>
    <row r="331" customFormat="false" ht="15" hidden="false" customHeight="true" outlineLevel="0" collapsed="false">
      <c r="A331" s="4" t="s">
        <v>360</v>
      </c>
      <c r="B331" s="5" t="s">
        <v>326</v>
      </c>
      <c r="C331" s="5" t="s">
        <v>52</v>
      </c>
      <c r="D331" s="5" t="s">
        <v>26</v>
      </c>
      <c r="E331" s="6" t="n">
        <v>84</v>
      </c>
      <c r="F331" s="6" t="n">
        <v>140</v>
      </c>
      <c r="G331" s="7" t="n">
        <v>0.6</v>
      </c>
      <c r="H331" s="8" t="n">
        <v>146832</v>
      </c>
      <c r="I331" s="8" t="n">
        <v>1748</v>
      </c>
      <c r="J331" s="7" t="n">
        <v>0.4</v>
      </c>
    </row>
    <row r="332" customFormat="false" ht="15" hidden="false" customHeight="true" outlineLevel="0" collapsed="false">
      <c r="A332" s="4" t="s">
        <v>361</v>
      </c>
      <c r="B332" s="5" t="s">
        <v>326</v>
      </c>
      <c r="C332" s="5" t="s">
        <v>60</v>
      </c>
      <c r="D332" s="5" t="s">
        <v>14</v>
      </c>
      <c r="E332" s="6" t="n">
        <v>5312</v>
      </c>
      <c r="F332" s="6"/>
      <c r="G332" s="7"/>
      <c r="H332" s="8"/>
      <c r="I332" s="8"/>
      <c r="J332" s="7"/>
    </row>
    <row r="333" customFormat="false" ht="15" hidden="false" customHeight="true" outlineLevel="0" collapsed="false">
      <c r="A333" s="4" t="s">
        <v>362</v>
      </c>
      <c r="B333" s="5" t="s">
        <v>326</v>
      </c>
      <c r="C333" s="5" t="s">
        <v>60</v>
      </c>
      <c r="D333" s="5" t="s">
        <v>16</v>
      </c>
      <c r="E333" s="6" t="n">
        <v>3215</v>
      </c>
      <c r="F333" s="6" t="n">
        <v>5312</v>
      </c>
      <c r="G333" s="7" t="n">
        <v>0.60523343373494</v>
      </c>
      <c r="H333" s="8"/>
      <c r="I333" s="8"/>
      <c r="J333" s="7" t="n">
        <v>0.39476656626506</v>
      </c>
    </row>
    <row r="334" customFormat="false" ht="15" hidden="false" customHeight="true" outlineLevel="0" collapsed="false">
      <c r="A334" s="4" t="s">
        <v>363</v>
      </c>
      <c r="B334" s="5" t="s">
        <v>326</v>
      </c>
      <c r="C334" s="5" t="s">
        <v>60</v>
      </c>
      <c r="D334" s="5" t="s">
        <v>18</v>
      </c>
      <c r="E334" s="6" t="n">
        <v>929</v>
      </c>
      <c r="F334" s="6" t="n">
        <v>3215</v>
      </c>
      <c r="G334" s="7" t="n">
        <v>0.28895800933126</v>
      </c>
      <c r="H334" s="8"/>
      <c r="I334" s="8"/>
      <c r="J334" s="7" t="n">
        <v>0.71104199066874</v>
      </c>
    </row>
    <row r="335" customFormat="false" ht="15" hidden="false" customHeight="true" outlineLevel="0" collapsed="false">
      <c r="A335" s="4" t="s">
        <v>364</v>
      </c>
      <c r="B335" s="5" t="s">
        <v>326</v>
      </c>
      <c r="C335" s="5" t="s">
        <v>60</v>
      </c>
      <c r="D335" s="5" t="s">
        <v>20</v>
      </c>
      <c r="E335" s="6" t="n">
        <v>578</v>
      </c>
      <c r="F335" s="6" t="n">
        <v>929</v>
      </c>
      <c r="G335" s="7" t="n">
        <v>0.622174381054898</v>
      </c>
      <c r="H335" s="8"/>
      <c r="I335" s="8"/>
      <c r="J335" s="7" t="n">
        <v>0.377825618945102</v>
      </c>
    </row>
    <row r="336" customFormat="false" ht="15" hidden="false" customHeight="true" outlineLevel="0" collapsed="false">
      <c r="A336" s="4" t="s">
        <v>365</v>
      </c>
      <c r="B336" s="5" t="s">
        <v>326</v>
      </c>
      <c r="C336" s="5" t="s">
        <v>60</v>
      </c>
      <c r="D336" s="5" t="s">
        <v>22</v>
      </c>
      <c r="E336" s="6" t="n">
        <v>245</v>
      </c>
      <c r="F336" s="6" t="n">
        <v>578</v>
      </c>
      <c r="G336" s="7" t="n">
        <v>0.423875432525952</v>
      </c>
      <c r="H336" s="8"/>
      <c r="I336" s="8"/>
      <c r="J336" s="7" t="n">
        <v>0.576124567474049</v>
      </c>
    </row>
    <row r="337" customFormat="false" ht="15" hidden="false" customHeight="true" outlineLevel="0" collapsed="false">
      <c r="A337" s="4" t="s">
        <v>366</v>
      </c>
      <c r="B337" s="5" t="s">
        <v>326</v>
      </c>
      <c r="C337" s="5" t="s">
        <v>60</v>
      </c>
      <c r="D337" s="5" t="s">
        <v>24</v>
      </c>
      <c r="E337" s="6" t="n">
        <v>141</v>
      </c>
      <c r="F337" s="6" t="n">
        <v>245</v>
      </c>
      <c r="G337" s="7" t="n">
        <v>0.575510204081633</v>
      </c>
      <c r="H337" s="8"/>
      <c r="I337" s="8"/>
      <c r="J337" s="7" t="n">
        <v>0.424489795918367</v>
      </c>
    </row>
    <row r="338" customFormat="false" ht="15" hidden="false" customHeight="true" outlineLevel="0" collapsed="false">
      <c r="A338" s="4" t="s">
        <v>367</v>
      </c>
      <c r="B338" s="5" t="s">
        <v>326</v>
      </c>
      <c r="C338" s="5" t="s">
        <v>60</v>
      </c>
      <c r="D338" s="5" t="s">
        <v>26</v>
      </c>
      <c r="E338" s="6" t="n">
        <v>99</v>
      </c>
      <c r="F338" s="6" t="n">
        <v>141</v>
      </c>
      <c r="G338" s="7" t="n">
        <v>0.702127659574468</v>
      </c>
      <c r="H338" s="8" t="n">
        <v>395406</v>
      </c>
      <c r="I338" s="8" t="n">
        <v>3994</v>
      </c>
      <c r="J338" s="7" t="n">
        <v>0.297872340425532</v>
      </c>
    </row>
    <row r="339" customFormat="false" ht="15" hidden="false" customHeight="true" outlineLevel="0" collapsed="false">
      <c r="A339" s="4" t="s">
        <v>368</v>
      </c>
      <c r="B339" s="5" t="s">
        <v>369</v>
      </c>
      <c r="C339" s="5" t="s">
        <v>13</v>
      </c>
      <c r="D339" s="5" t="s">
        <v>14</v>
      </c>
      <c r="E339" s="6" t="n">
        <v>4213</v>
      </c>
      <c r="F339" s="6"/>
      <c r="G339" s="7"/>
      <c r="H339" s="8"/>
      <c r="I339" s="8"/>
      <c r="J339" s="7"/>
    </row>
    <row r="340" customFormat="false" ht="15" hidden="false" customHeight="true" outlineLevel="0" collapsed="false">
      <c r="A340" s="4" t="s">
        <v>370</v>
      </c>
      <c r="B340" s="5" t="s">
        <v>369</v>
      </c>
      <c r="C340" s="5" t="s">
        <v>13</v>
      </c>
      <c r="D340" s="5" t="s">
        <v>16</v>
      </c>
      <c r="E340" s="6" t="n">
        <v>2091</v>
      </c>
      <c r="F340" s="6" t="n">
        <v>4213</v>
      </c>
      <c r="G340" s="7" t="n">
        <v>0.496320911464515</v>
      </c>
      <c r="H340" s="8"/>
      <c r="I340" s="8"/>
      <c r="J340" s="7" t="n">
        <v>0.503679088535485</v>
      </c>
    </row>
    <row r="341" customFormat="false" ht="15" hidden="false" customHeight="true" outlineLevel="0" collapsed="false">
      <c r="A341" s="4" t="s">
        <v>371</v>
      </c>
      <c r="B341" s="5" t="s">
        <v>369</v>
      </c>
      <c r="C341" s="5" t="s">
        <v>13</v>
      </c>
      <c r="D341" s="5" t="s">
        <v>18</v>
      </c>
      <c r="E341" s="6" t="n">
        <v>575</v>
      </c>
      <c r="F341" s="6" t="n">
        <v>2091</v>
      </c>
      <c r="G341" s="7" t="n">
        <v>0.274988043998087</v>
      </c>
      <c r="H341" s="8"/>
      <c r="I341" s="8"/>
      <c r="J341" s="7" t="n">
        <v>0.725011956001913</v>
      </c>
    </row>
    <row r="342" customFormat="false" ht="15" hidden="false" customHeight="true" outlineLevel="0" collapsed="false">
      <c r="A342" s="4" t="s">
        <v>372</v>
      </c>
      <c r="B342" s="5" t="s">
        <v>369</v>
      </c>
      <c r="C342" s="5" t="s">
        <v>13</v>
      </c>
      <c r="D342" s="5" t="s">
        <v>20</v>
      </c>
      <c r="E342" s="6" t="n">
        <v>387</v>
      </c>
      <c r="F342" s="6" t="n">
        <v>575</v>
      </c>
      <c r="G342" s="7" t="n">
        <v>0.67304347826087</v>
      </c>
      <c r="H342" s="8"/>
      <c r="I342" s="8"/>
      <c r="J342" s="7" t="n">
        <v>0.326956521739131</v>
      </c>
    </row>
    <row r="343" customFormat="false" ht="15" hidden="false" customHeight="true" outlineLevel="0" collapsed="false">
      <c r="A343" s="4" t="s">
        <v>373</v>
      </c>
      <c r="B343" s="5" t="s">
        <v>369</v>
      </c>
      <c r="C343" s="5" t="s">
        <v>13</v>
      </c>
      <c r="D343" s="5" t="s">
        <v>22</v>
      </c>
      <c r="E343" s="6" t="n">
        <v>187</v>
      </c>
      <c r="F343" s="6" t="n">
        <v>387</v>
      </c>
      <c r="G343" s="7" t="n">
        <v>0.483204134366925</v>
      </c>
      <c r="H343" s="8"/>
      <c r="I343" s="8"/>
      <c r="J343" s="7" t="n">
        <v>0.516795865633075</v>
      </c>
    </row>
    <row r="344" customFormat="false" ht="15" hidden="false" customHeight="true" outlineLevel="0" collapsed="false">
      <c r="A344" s="4" t="s">
        <v>374</v>
      </c>
      <c r="B344" s="5" t="s">
        <v>369</v>
      </c>
      <c r="C344" s="5" t="s">
        <v>13</v>
      </c>
      <c r="D344" s="5" t="s">
        <v>24</v>
      </c>
      <c r="E344" s="6" t="n">
        <v>97</v>
      </c>
      <c r="F344" s="6" t="n">
        <v>187</v>
      </c>
      <c r="G344" s="7" t="n">
        <v>0.518716577540107</v>
      </c>
      <c r="H344" s="8"/>
      <c r="I344" s="8"/>
      <c r="J344" s="7" t="n">
        <v>0.481283422459893</v>
      </c>
    </row>
    <row r="345" customFormat="false" ht="15" hidden="false" customHeight="true" outlineLevel="0" collapsed="false">
      <c r="A345" s="4" t="s">
        <v>375</v>
      </c>
      <c r="B345" s="5" t="s">
        <v>369</v>
      </c>
      <c r="C345" s="5" t="s">
        <v>13</v>
      </c>
      <c r="D345" s="5" t="s">
        <v>26</v>
      </c>
      <c r="E345" s="6" t="n">
        <v>57</v>
      </c>
      <c r="F345" s="6" t="n">
        <v>97</v>
      </c>
      <c r="G345" s="7" t="n">
        <v>0.587628865979382</v>
      </c>
      <c r="H345" s="8" t="n">
        <v>72162</v>
      </c>
      <c r="I345" s="8" t="n">
        <v>1266</v>
      </c>
      <c r="J345" s="7" t="n">
        <v>0.412371134020619</v>
      </c>
    </row>
    <row r="346" customFormat="false" ht="15" hidden="false" customHeight="true" outlineLevel="0" collapsed="false">
      <c r="A346" s="4" t="s">
        <v>376</v>
      </c>
      <c r="B346" s="5" t="s">
        <v>369</v>
      </c>
      <c r="C346" s="5" t="s">
        <v>28</v>
      </c>
      <c r="D346" s="5" t="s">
        <v>14</v>
      </c>
      <c r="E346" s="6" t="n">
        <v>13772</v>
      </c>
      <c r="F346" s="6"/>
      <c r="G346" s="7"/>
      <c r="H346" s="8"/>
      <c r="I346" s="8"/>
      <c r="J346" s="7"/>
    </row>
    <row r="347" customFormat="false" ht="15" hidden="false" customHeight="true" outlineLevel="0" collapsed="false">
      <c r="A347" s="4" t="s">
        <v>377</v>
      </c>
      <c r="B347" s="5" t="s">
        <v>369</v>
      </c>
      <c r="C347" s="5" t="s">
        <v>28</v>
      </c>
      <c r="D347" s="5" t="s">
        <v>16</v>
      </c>
      <c r="E347" s="6" t="n">
        <v>8010</v>
      </c>
      <c r="F347" s="6" t="n">
        <v>13772</v>
      </c>
      <c r="G347" s="7" t="n">
        <v>0.581614870752251</v>
      </c>
      <c r="H347" s="8"/>
      <c r="I347" s="8"/>
      <c r="J347" s="7" t="n">
        <v>0.418385129247749</v>
      </c>
    </row>
    <row r="348" customFormat="false" ht="15" hidden="false" customHeight="true" outlineLevel="0" collapsed="false">
      <c r="A348" s="4" t="s">
        <v>378</v>
      </c>
      <c r="B348" s="5" t="s">
        <v>369</v>
      </c>
      <c r="C348" s="5" t="s">
        <v>28</v>
      </c>
      <c r="D348" s="5" t="s">
        <v>18</v>
      </c>
      <c r="E348" s="6" t="n">
        <v>2743</v>
      </c>
      <c r="F348" s="6" t="n">
        <v>8010</v>
      </c>
      <c r="G348" s="7" t="n">
        <v>0.342446941323346</v>
      </c>
      <c r="H348" s="8"/>
      <c r="I348" s="8"/>
      <c r="J348" s="7" t="n">
        <v>0.657553058676654</v>
      </c>
    </row>
    <row r="349" customFormat="false" ht="15" hidden="false" customHeight="true" outlineLevel="0" collapsed="false">
      <c r="A349" s="4" t="s">
        <v>379</v>
      </c>
      <c r="B349" s="5" t="s">
        <v>369</v>
      </c>
      <c r="C349" s="5" t="s">
        <v>28</v>
      </c>
      <c r="D349" s="5" t="s">
        <v>20</v>
      </c>
      <c r="E349" s="6" t="n">
        <v>1713</v>
      </c>
      <c r="F349" s="6" t="n">
        <v>2743</v>
      </c>
      <c r="G349" s="7" t="n">
        <v>0.62449872402479</v>
      </c>
      <c r="H349" s="8"/>
      <c r="I349" s="8"/>
      <c r="J349" s="7" t="n">
        <v>0.37550127597521</v>
      </c>
    </row>
    <row r="350" customFormat="false" ht="15" hidden="false" customHeight="true" outlineLevel="0" collapsed="false">
      <c r="A350" s="4" t="s">
        <v>380</v>
      </c>
      <c r="B350" s="5" t="s">
        <v>369</v>
      </c>
      <c r="C350" s="5" t="s">
        <v>28</v>
      </c>
      <c r="D350" s="5" t="s">
        <v>22</v>
      </c>
      <c r="E350" s="6" t="n">
        <v>753</v>
      </c>
      <c r="F350" s="6" t="n">
        <v>1713</v>
      </c>
      <c r="G350" s="7" t="n">
        <v>0.439579684763573</v>
      </c>
      <c r="H350" s="8"/>
      <c r="I350" s="8"/>
      <c r="J350" s="7" t="n">
        <v>0.560420315236427</v>
      </c>
    </row>
    <row r="351" customFormat="false" ht="15" hidden="false" customHeight="true" outlineLevel="0" collapsed="false">
      <c r="A351" s="4" t="s">
        <v>381</v>
      </c>
      <c r="B351" s="5" t="s">
        <v>369</v>
      </c>
      <c r="C351" s="5" t="s">
        <v>28</v>
      </c>
      <c r="D351" s="5" t="s">
        <v>24</v>
      </c>
      <c r="E351" s="6" t="n">
        <v>502</v>
      </c>
      <c r="F351" s="6" t="n">
        <v>753</v>
      </c>
      <c r="G351" s="7" t="n">
        <v>0.666666666666667</v>
      </c>
      <c r="H351" s="8"/>
      <c r="I351" s="8"/>
      <c r="J351" s="7" t="n">
        <v>0.333333333333333</v>
      </c>
    </row>
    <row r="352" customFormat="false" ht="15" hidden="false" customHeight="true" outlineLevel="0" collapsed="false">
      <c r="A352" s="4" t="s">
        <v>382</v>
      </c>
      <c r="B352" s="5" t="s">
        <v>369</v>
      </c>
      <c r="C352" s="5" t="s">
        <v>28</v>
      </c>
      <c r="D352" s="5" t="s">
        <v>26</v>
      </c>
      <c r="E352" s="6" t="n">
        <v>379</v>
      </c>
      <c r="F352" s="6" t="n">
        <v>502</v>
      </c>
      <c r="G352" s="7" t="n">
        <v>0.754980079681275</v>
      </c>
      <c r="H352" s="8" t="n">
        <v>1303760</v>
      </c>
      <c r="I352" s="8" t="n">
        <v>3440</v>
      </c>
      <c r="J352" s="7" t="n">
        <v>0.245019920318725</v>
      </c>
    </row>
    <row r="353" customFormat="false" ht="15" hidden="false" customHeight="true" outlineLevel="0" collapsed="false">
      <c r="A353" s="4" t="s">
        <v>383</v>
      </c>
      <c r="B353" s="5" t="s">
        <v>369</v>
      </c>
      <c r="C353" s="5" t="s">
        <v>36</v>
      </c>
      <c r="D353" s="5" t="s">
        <v>14</v>
      </c>
      <c r="E353" s="6" t="n">
        <v>7306</v>
      </c>
      <c r="F353" s="6"/>
      <c r="G353" s="7"/>
      <c r="H353" s="8"/>
      <c r="I353" s="8"/>
      <c r="J353" s="7"/>
    </row>
    <row r="354" customFormat="false" ht="15" hidden="false" customHeight="true" outlineLevel="0" collapsed="false">
      <c r="A354" s="4" t="s">
        <v>384</v>
      </c>
      <c r="B354" s="5" t="s">
        <v>369</v>
      </c>
      <c r="C354" s="5" t="s">
        <v>36</v>
      </c>
      <c r="D354" s="5" t="s">
        <v>16</v>
      </c>
      <c r="E354" s="6" t="n">
        <v>3831</v>
      </c>
      <c r="F354" s="6" t="n">
        <v>7306</v>
      </c>
      <c r="G354" s="7" t="n">
        <v>0.524363536819053</v>
      </c>
      <c r="H354" s="8"/>
      <c r="I354" s="8"/>
      <c r="J354" s="7" t="n">
        <v>0.475636463180947</v>
      </c>
    </row>
    <row r="355" customFormat="false" ht="15" hidden="false" customHeight="true" outlineLevel="0" collapsed="false">
      <c r="A355" s="4" t="s">
        <v>385</v>
      </c>
      <c r="B355" s="5" t="s">
        <v>369</v>
      </c>
      <c r="C355" s="5" t="s">
        <v>36</v>
      </c>
      <c r="D355" s="5" t="s">
        <v>18</v>
      </c>
      <c r="E355" s="6" t="n">
        <v>1017</v>
      </c>
      <c r="F355" s="6" t="n">
        <v>3831</v>
      </c>
      <c r="G355" s="7" t="n">
        <v>0.265465935787001</v>
      </c>
      <c r="H355" s="8"/>
      <c r="I355" s="8"/>
      <c r="J355" s="7" t="n">
        <v>0.734534064212999</v>
      </c>
    </row>
    <row r="356" customFormat="false" ht="15" hidden="false" customHeight="true" outlineLevel="0" collapsed="false">
      <c r="A356" s="4" t="s">
        <v>386</v>
      </c>
      <c r="B356" s="5" t="s">
        <v>369</v>
      </c>
      <c r="C356" s="5" t="s">
        <v>36</v>
      </c>
      <c r="D356" s="5" t="s">
        <v>20</v>
      </c>
      <c r="E356" s="6" t="n">
        <v>667</v>
      </c>
      <c r="F356" s="6" t="n">
        <v>1017</v>
      </c>
      <c r="G356" s="7" t="n">
        <v>0.655850540806293</v>
      </c>
      <c r="H356" s="8"/>
      <c r="I356" s="8"/>
      <c r="J356" s="7" t="n">
        <v>0.344149459193707</v>
      </c>
    </row>
    <row r="357" customFormat="false" ht="15" hidden="false" customHeight="true" outlineLevel="0" collapsed="false">
      <c r="A357" s="4" t="s">
        <v>387</v>
      </c>
      <c r="B357" s="5" t="s">
        <v>369</v>
      </c>
      <c r="C357" s="5" t="s">
        <v>36</v>
      </c>
      <c r="D357" s="5" t="s">
        <v>22</v>
      </c>
      <c r="E357" s="6" t="n">
        <v>260</v>
      </c>
      <c r="F357" s="6" t="n">
        <v>667</v>
      </c>
      <c r="G357" s="7" t="n">
        <v>0.389805097451274</v>
      </c>
      <c r="H357" s="8"/>
      <c r="I357" s="8"/>
      <c r="J357" s="7" t="n">
        <v>0.610194902548726</v>
      </c>
    </row>
    <row r="358" customFormat="false" ht="15" hidden="false" customHeight="true" outlineLevel="0" collapsed="false">
      <c r="A358" s="4" t="s">
        <v>388</v>
      </c>
      <c r="B358" s="5" t="s">
        <v>369</v>
      </c>
      <c r="C358" s="5" t="s">
        <v>36</v>
      </c>
      <c r="D358" s="5" t="s">
        <v>24</v>
      </c>
      <c r="E358" s="6" t="n">
        <v>134</v>
      </c>
      <c r="F358" s="6" t="n">
        <v>260</v>
      </c>
      <c r="G358" s="7" t="n">
        <v>0.515384615384615</v>
      </c>
      <c r="H358" s="8"/>
      <c r="I358" s="8"/>
      <c r="J358" s="7" t="n">
        <v>0.484615384615385</v>
      </c>
    </row>
    <row r="359" customFormat="false" ht="15" hidden="false" customHeight="true" outlineLevel="0" collapsed="false">
      <c r="A359" s="4" t="s">
        <v>389</v>
      </c>
      <c r="B359" s="5" t="s">
        <v>369</v>
      </c>
      <c r="C359" s="5" t="s">
        <v>36</v>
      </c>
      <c r="D359" s="5" t="s">
        <v>26</v>
      </c>
      <c r="E359" s="6" t="n">
        <v>87</v>
      </c>
      <c r="F359" s="6" t="n">
        <v>134</v>
      </c>
      <c r="G359" s="7" t="n">
        <v>0.649253731343284</v>
      </c>
      <c r="H359" s="8" t="n">
        <v>290841</v>
      </c>
      <c r="I359" s="8" t="n">
        <v>3343</v>
      </c>
      <c r="J359" s="7" t="n">
        <v>0.350746268656716</v>
      </c>
    </row>
    <row r="360" customFormat="false" ht="15" hidden="false" customHeight="true" outlineLevel="0" collapsed="false">
      <c r="A360" s="4" t="s">
        <v>390</v>
      </c>
      <c r="B360" s="5" t="s">
        <v>369</v>
      </c>
      <c r="C360" s="5" t="s">
        <v>44</v>
      </c>
      <c r="D360" s="5" t="s">
        <v>14</v>
      </c>
      <c r="E360" s="6" t="n">
        <v>4678</v>
      </c>
      <c r="F360" s="6"/>
      <c r="G360" s="7"/>
      <c r="H360" s="8"/>
      <c r="I360" s="8"/>
      <c r="J360" s="7"/>
    </row>
    <row r="361" customFormat="false" ht="15" hidden="false" customHeight="true" outlineLevel="0" collapsed="false">
      <c r="A361" s="4" t="s">
        <v>391</v>
      </c>
      <c r="B361" s="5" t="s">
        <v>369</v>
      </c>
      <c r="C361" s="5" t="s">
        <v>44</v>
      </c>
      <c r="D361" s="5" t="s">
        <v>16</v>
      </c>
      <c r="E361" s="6" t="n">
        <v>2423</v>
      </c>
      <c r="F361" s="6" t="n">
        <v>4678</v>
      </c>
      <c r="G361" s="7" t="n">
        <v>0.517956391620351</v>
      </c>
      <c r="H361" s="8"/>
      <c r="I361" s="8"/>
      <c r="J361" s="7" t="n">
        <v>0.482043608379649</v>
      </c>
    </row>
    <row r="362" customFormat="false" ht="15" hidden="false" customHeight="true" outlineLevel="0" collapsed="false">
      <c r="A362" s="4" t="s">
        <v>392</v>
      </c>
      <c r="B362" s="5" t="s">
        <v>369</v>
      </c>
      <c r="C362" s="5" t="s">
        <v>44</v>
      </c>
      <c r="D362" s="5" t="s">
        <v>18</v>
      </c>
      <c r="E362" s="6" t="n">
        <v>754</v>
      </c>
      <c r="F362" s="6" t="n">
        <v>2423</v>
      </c>
      <c r="G362" s="7" t="n">
        <v>0.311184482047049</v>
      </c>
      <c r="H362" s="8"/>
      <c r="I362" s="8"/>
      <c r="J362" s="7" t="n">
        <v>0.688815517952951</v>
      </c>
    </row>
    <row r="363" customFormat="false" ht="15" hidden="false" customHeight="true" outlineLevel="0" collapsed="false">
      <c r="A363" s="4" t="s">
        <v>393</v>
      </c>
      <c r="B363" s="5" t="s">
        <v>369</v>
      </c>
      <c r="C363" s="5" t="s">
        <v>44</v>
      </c>
      <c r="D363" s="5" t="s">
        <v>20</v>
      </c>
      <c r="E363" s="6" t="n">
        <v>447</v>
      </c>
      <c r="F363" s="6" t="n">
        <v>754</v>
      </c>
      <c r="G363" s="7" t="n">
        <v>0.592838196286472</v>
      </c>
      <c r="H363" s="8"/>
      <c r="I363" s="8"/>
      <c r="J363" s="7" t="n">
        <v>0.407161803713528</v>
      </c>
    </row>
    <row r="364" customFormat="false" ht="15" hidden="false" customHeight="true" outlineLevel="0" collapsed="false">
      <c r="A364" s="4" t="s">
        <v>394</v>
      </c>
      <c r="B364" s="5" t="s">
        <v>369</v>
      </c>
      <c r="C364" s="5" t="s">
        <v>44</v>
      </c>
      <c r="D364" s="5" t="s">
        <v>22</v>
      </c>
      <c r="E364" s="6" t="n">
        <v>211</v>
      </c>
      <c r="F364" s="6" t="n">
        <v>447</v>
      </c>
      <c r="G364" s="7" t="n">
        <v>0.472035794183445</v>
      </c>
      <c r="H364" s="8"/>
      <c r="I364" s="8"/>
      <c r="J364" s="7" t="n">
        <v>0.527964205816555</v>
      </c>
    </row>
    <row r="365" customFormat="false" ht="15" hidden="false" customHeight="true" outlineLevel="0" collapsed="false">
      <c r="A365" s="4" t="s">
        <v>395</v>
      </c>
      <c r="B365" s="5" t="s">
        <v>369</v>
      </c>
      <c r="C365" s="5" t="s">
        <v>44</v>
      </c>
      <c r="D365" s="5" t="s">
        <v>24</v>
      </c>
      <c r="E365" s="6" t="n">
        <v>127</v>
      </c>
      <c r="F365" s="6" t="n">
        <v>211</v>
      </c>
      <c r="G365" s="7" t="n">
        <v>0.601895734597156</v>
      </c>
      <c r="H365" s="8"/>
      <c r="I365" s="8"/>
      <c r="J365" s="7" t="n">
        <v>0.398104265402844</v>
      </c>
    </row>
    <row r="366" customFormat="false" ht="15" hidden="false" customHeight="true" outlineLevel="0" collapsed="false">
      <c r="A366" s="4" t="s">
        <v>396</v>
      </c>
      <c r="B366" s="5" t="s">
        <v>369</v>
      </c>
      <c r="C366" s="5" t="s">
        <v>44</v>
      </c>
      <c r="D366" s="5" t="s">
        <v>26</v>
      </c>
      <c r="E366" s="6" t="n">
        <v>91</v>
      </c>
      <c r="F366" s="6" t="n">
        <v>127</v>
      </c>
      <c r="G366" s="7" t="n">
        <v>0.716535433070866</v>
      </c>
      <c r="H366" s="8" t="n">
        <v>170352</v>
      </c>
      <c r="I366" s="8" t="n">
        <v>1872</v>
      </c>
      <c r="J366" s="7" t="n">
        <v>0.283464566929134</v>
      </c>
    </row>
    <row r="367" customFormat="false" ht="15" hidden="false" customHeight="true" outlineLevel="0" collapsed="false">
      <c r="A367" s="4" t="s">
        <v>397</v>
      </c>
      <c r="B367" s="5" t="s">
        <v>369</v>
      </c>
      <c r="C367" s="5" t="s">
        <v>52</v>
      </c>
      <c r="D367" s="5" t="s">
        <v>14</v>
      </c>
      <c r="E367" s="6" t="n">
        <v>4271</v>
      </c>
      <c r="F367" s="6"/>
      <c r="G367" s="7"/>
      <c r="H367" s="8"/>
      <c r="I367" s="8"/>
      <c r="J367" s="7"/>
    </row>
    <row r="368" customFormat="false" ht="15" hidden="false" customHeight="true" outlineLevel="0" collapsed="false">
      <c r="A368" s="4" t="s">
        <v>398</v>
      </c>
      <c r="B368" s="5" t="s">
        <v>369</v>
      </c>
      <c r="C368" s="5" t="s">
        <v>52</v>
      </c>
      <c r="D368" s="5" t="s">
        <v>16</v>
      </c>
      <c r="E368" s="6" t="n">
        <v>2082</v>
      </c>
      <c r="F368" s="6" t="n">
        <v>4271</v>
      </c>
      <c r="G368" s="7" t="n">
        <v>0.487473659564505</v>
      </c>
      <c r="H368" s="8"/>
      <c r="I368" s="8"/>
      <c r="J368" s="7" t="n">
        <v>0.512526340435495</v>
      </c>
    </row>
    <row r="369" customFormat="false" ht="15" hidden="false" customHeight="true" outlineLevel="0" collapsed="false">
      <c r="A369" s="4" t="s">
        <v>399</v>
      </c>
      <c r="B369" s="5" t="s">
        <v>369</v>
      </c>
      <c r="C369" s="5" t="s">
        <v>52</v>
      </c>
      <c r="D369" s="5" t="s">
        <v>18</v>
      </c>
      <c r="E369" s="6" t="n">
        <v>534</v>
      </c>
      <c r="F369" s="6" t="n">
        <v>2082</v>
      </c>
      <c r="G369" s="7" t="n">
        <v>0.256484149855908</v>
      </c>
      <c r="H369" s="8"/>
      <c r="I369" s="8"/>
      <c r="J369" s="7" t="n">
        <v>0.743515850144092</v>
      </c>
    </row>
    <row r="370" customFormat="false" ht="15" hidden="false" customHeight="true" outlineLevel="0" collapsed="false">
      <c r="A370" s="4" t="s">
        <v>400</v>
      </c>
      <c r="B370" s="5" t="s">
        <v>369</v>
      </c>
      <c r="C370" s="5" t="s">
        <v>52</v>
      </c>
      <c r="D370" s="5" t="s">
        <v>20</v>
      </c>
      <c r="E370" s="6" t="n">
        <v>346</v>
      </c>
      <c r="F370" s="6" t="n">
        <v>534</v>
      </c>
      <c r="G370" s="7" t="n">
        <v>0.647940074906367</v>
      </c>
      <c r="H370" s="8"/>
      <c r="I370" s="8"/>
      <c r="J370" s="7" t="n">
        <v>0.352059925093633</v>
      </c>
    </row>
    <row r="371" customFormat="false" ht="15" hidden="false" customHeight="true" outlineLevel="0" collapsed="false">
      <c r="A371" s="4" t="s">
        <v>401</v>
      </c>
      <c r="B371" s="5" t="s">
        <v>369</v>
      </c>
      <c r="C371" s="5" t="s">
        <v>52</v>
      </c>
      <c r="D371" s="5" t="s">
        <v>22</v>
      </c>
      <c r="E371" s="6" t="n">
        <v>176</v>
      </c>
      <c r="F371" s="6" t="n">
        <v>346</v>
      </c>
      <c r="G371" s="7" t="n">
        <v>0.508670520231214</v>
      </c>
      <c r="H371" s="8"/>
      <c r="I371" s="8"/>
      <c r="J371" s="7" t="n">
        <v>0.491329479768786</v>
      </c>
    </row>
    <row r="372" customFormat="false" ht="15" hidden="false" customHeight="true" outlineLevel="0" collapsed="false">
      <c r="A372" s="4" t="s">
        <v>402</v>
      </c>
      <c r="B372" s="5" t="s">
        <v>369</v>
      </c>
      <c r="C372" s="5" t="s">
        <v>52</v>
      </c>
      <c r="D372" s="5" t="s">
        <v>24</v>
      </c>
      <c r="E372" s="6" t="n">
        <v>115</v>
      </c>
      <c r="F372" s="6" t="n">
        <v>176</v>
      </c>
      <c r="G372" s="7" t="n">
        <v>0.653409090909091</v>
      </c>
      <c r="H372" s="8"/>
      <c r="I372" s="8"/>
      <c r="J372" s="7" t="n">
        <v>0.346590909090909</v>
      </c>
    </row>
    <row r="373" customFormat="false" ht="15" hidden="false" customHeight="true" outlineLevel="0" collapsed="false">
      <c r="A373" s="4" t="s">
        <v>403</v>
      </c>
      <c r="B373" s="5" t="s">
        <v>369</v>
      </c>
      <c r="C373" s="5" t="s">
        <v>52</v>
      </c>
      <c r="D373" s="5" t="s">
        <v>26</v>
      </c>
      <c r="E373" s="6" t="n">
        <v>79</v>
      </c>
      <c r="F373" s="6" t="n">
        <v>115</v>
      </c>
      <c r="G373" s="7" t="n">
        <v>0.686956521739131</v>
      </c>
      <c r="H373" s="8" t="n">
        <v>320108</v>
      </c>
      <c r="I373" s="8" t="n">
        <v>4052</v>
      </c>
      <c r="J373" s="7" t="n">
        <v>0.31304347826087</v>
      </c>
    </row>
    <row r="374" customFormat="false" ht="15" hidden="false" customHeight="true" outlineLevel="0" collapsed="false">
      <c r="A374" s="4" t="s">
        <v>404</v>
      </c>
      <c r="B374" s="5" t="s">
        <v>369</v>
      </c>
      <c r="C374" s="5" t="s">
        <v>60</v>
      </c>
      <c r="D374" s="5" t="s">
        <v>14</v>
      </c>
      <c r="E374" s="6" t="n">
        <v>8257</v>
      </c>
      <c r="F374" s="6"/>
      <c r="G374" s="7"/>
      <c r="H374" s="8"/>
      <c r="I374" s="8"/>
      <c r="J374" s="7"/>
    </row>
    <row r="375" customFormat="false" ht="15" hidden="false" customHeight="true" outlineLevel="0" collapsed="false">
      <c r="A375" s="4" t="s">
        <v>405</v>
      </c>
      <c r="B375" s="5" t="s">
        <v>369</v>
      </c>
      <c r="C375" s="5" t="s">
        <v>60</v>
      </c>
      <c r="D375" s="5" t="s">
        <v>16</v>
      </c>
      <c r="E375" s="6" t="n">
        <v>4180</v>
      </c>
      <c r="F375" s="6" t="n">
        <v>8257</v>
      </c>
      <c r="G375" s="7" t="n">
        <v>0.506237132130314</v>
      </c>
      <c r="H375" s="8"/>
      <c r="I375" s="8"/>
      <c r="J375" s="7" t="n">
        <v>0.493762867869686</v>
      </c>
    </row>
    <row r="376" customFormat="false" ht="15" hidden="false" customHeight="true" outlineLevel="0" collapsed="false">
      <c r="A376" s="4" t="s">
        <v>406</v>
      </c>
      <c r="B376" s="5" t="s">
        <v>369</v>
      </c>
      <c r="C376" s="5" t="s">
        <v>60</v>
      </c>
      <c r="D376" s="5" t="s">
        <v>18</v>
      </c>
      <c r="E376" s="6" t="n">
        <v>1326</v>
      </c>
      <c r="F376" s="6" t="n">
        <v>4180</v>
      </c>
      <c r="G376" s="7" t="n">
        <v>0.317224880382775</v>
      </c>
      <c r="H376" s="8"/>
      <c r="I376" s="8"/>
      <c r="J376" s="7" t="n">
        <v>0.682775119617225</v>
      </c>
    </row>
    <row r="377" customFormat="false" ht="15" hidden="false" customHeight="true" outlineLevel="0" collapsed="false">
      <c r="A377" s="4" t="s">
        <v>407</v>
      </c>
      <c r="B377" s="5" t="s">
        <v>369</v>
      </c>
      <c r="C377" s="5" t="s">
        <v>60</v>
      </c>
      <c r="D377" s="5" t="s">
        <v>20</v>
      </c>
      <c r="E377" s="6" t="n">
        <v>971</v>
      </c>
      <c r="F377" s="6" t="n">
        <v>1326</v>
      </c>
      <c r="G377" s="7" t="n">
        <v>0.732277526395173</v>
      </c>
      <c r="H377" s="8"/>
      <c r="I377" s="8"/>
      <c r="J377" s="7" t="n">
        <v>0.267722473604827</v>
      </c>
    </row>
    <row r="378" customFormat="false" ht="15" hidden="false" customHeight="true" outlineLevel="0" collapsed="false">
      <c r="A378" s="4" t="s">
        <v>408</v>
      </c>
      <c r="B378" s="5" t="s">
        <v>369</v>
      </c>
      <c r="C378" s="5" t="s">
        <v>60</v>
      </c>
      <c r="D378" s="5" t="s">
        <v>22</v>
      </c>
      <c r="E378" s="6" t="n">
        <v>485</v>
      </c>
      <c r="F378" s="6" t="n">
        <v>971</v>
      </c>
      <c r="G378" s="7" t="n">
        <v>0.499485066941298</v>
      </c>
      <c r="H378" s="8"/>
      <c r="I378" s="8"/>
      <c r="J378" s="7" t="n">
        <v>0.500514933058702</v>
      </c>
    </row>
    <row r="379" customFormat="false" ht="15" hidden="false" customHeight="true" outlineLevel="0" collapsed="false">
      <c r="A379" s="4" t="s">
        <v>409</v>
      </c>
      <c r="B379" s="5" t="s">
        <v>369</v>
      </c>
      <c r="C379" s="5" t="s">
        <v>60</v>
      </c>
      <c r="D379" s="5" t="s">
        <v>24</v>
      </c>
      <c r="E379" s="6" t="n">
        <v>327</v>
      </c>
      <c r="F379" s="6" t="n">
        <v>485</v>
      </c>
      <c r="G379" s="7" t="n">
        <v>0.674226804123711</v>
      </c>
      <c r="H379" s="8"/>
      <c r="I379" s="8"/>
      <c r="J379" s="7" t="n">
        <v>0.325773195876289</v>
      </c>
    </row>
    <row r="380" customFormat="false" ht="15" hidden="false" customHeight="true" outlineLevel="0" collapsed="false">
      <c r="A380" s="4" t="s">
        <v>410</v>
      </c>
      <c r="B380" s="5" t="s">
        <v>369</v>
      </c>
      <c r="C380" s="5" t="s">
        <v>60</v>
      </c>
      <c r="D380" s="5" t="s">
        <v>26</v>
      </c>
      <c r="E380" s="6" t="n">
        <v>221</v>
      </c>
      <c r="F380" s="6" t="n">
        <v>327</v>
      </c>
      <c r="G380" s="7" t="n">
        <v>0.675840978593272</v>
      </c>
      <c r="H380" s="8" t="n">
        <v>365313</v>
      </c>
      <c r="I380" s="8" t="n">
        <v>1653</v>
      </c>
      <c r="J380" s="7" t="n">
        <v>0.324159021406728</v>
      </c>
    </row>
    <row r="381" customFormat="false" ht="15" hidden="false" customHeight="true" outlineLevel="0" collapsed="false">
      <c r="A381" s="4" t="s">
        <v>411</v>
      </c>
      <c r="B381" s="5" t="s">
        <v>412</v>
      </c>
      <c r="C381" s="5" t="s">
        <v>13</v>
      </c>
      <c r="D381" s="5" t="s">
        <v>14</v>
      </c>
      <c r="E381" s="6" t="n">
        <v>4116</v>
      </c>
      <c r="F381" s="6"/>
      <c r="G381" s="7"/>
      <c r="H381" s="8"/>
      <c r="I381" s="8"/>
      <c r="J381" s="7"/>
    </row>
    <row r="382" customFormat="false" ht="15" hidden="false" customHeight="true" outlineLevel="0" collapsed="false">
      <c r="A382" s="4" t="s">
        <v>413</v>
      </c>
      <c r="B382" s="5" t="s">
        <v>412</v>
      </c>
      <c r="C382" s="5" t="s">
        <v>13</v>
      </c>
      <c r="D382" s="5" t="s">
        <v>16</v>
      </c>
      <c r="E382" s="6" t="n">
        <v>2114</v>
      </c>
      <c r="F382" s="6" t="n">
        <v>4116</v>
      </c>
      <c r="G382" s="7" t="n">
        <v>0.513605442176871</v>
      </c>
      <c r="H382" s="8"/>
      <c r="I382" s="8"/>
      <c r="J382" s="7" t="n">
        <v>0.486394557823129</v>
      </c>
    </row>
    <row r="383" customFormat="false" ht="15" hidden="false" customHeight="true" outlineLevel="0" collapsed="false">
      <c r="A383" s="4" t="s">
        <v>414</v>
      </c>
      <c r="B383" s="5" t="s">
        <v>412</v>
      </c>
      <c r="C383" s="5" t="s">
        <v>13</v>
      </c>
      <c r="D383" s="5" t="s">
        <v>18</v>
      </c>
      <c r="E383" s="6" t="n">
        <v>680</v>
      </c>
      <c r="F383" s="6" t="n">
        <v>2114</v>
      </c>
      <c r="G383" s="7" t="n">
        <v>0.32166508987701</v>
      </c>
      <c r="H383" s="8"/>
      <c r="I383" s="8"/>
      <c r="J383" s="7" t="n">
        <v>0.67833491012299</v>
      </c>
    </row>
    <row r="384" customFormat="false" ht="15" hidden="false" customHeight="true" outlineLevel="0" collapsed="false">
      <c r="A384" s="4" t="s">
        <v>415</v>
      </c>
      <c r="B384" s="5" t="s">
        <v>412</v>
      </c>
      <c r="C384" s="5" t="s">
        <v>13</v>
      </c>
      <c r="D384" s="5" t="s">
        <v>20</v>
      </c>
      <c r="E384" s="6" t="n">
        <v>420</v>
      </c>
      <c r="F384" s="6" t="n">
        <v>680</v>
      </c>
      <c r="G384" s="7" t="n">
        <v>0.617647058823529</v>
      </c>
      <c r="H384" s="8"/>
      <c r="I384" s="8"/>
      <c r="J384" s="7" t="n">
        <v>0.382352941176471</v>
      </c>
    </row>
    <row r="385" customFormat="false" ht="15" hidden="false" customHeight="true" outlineLevel="0" collapsed="false">
      <c r="A385" s="4" t="s">
        <v>416</v>
      </c>
      <c r="B385" s="5" t="s">
        <v>412</v>
      </c>
      <c r="C385" s="5" t="s">
        <v>13</v>
      </c>
      <c r="D385" s="5" t="s">
        <v>22</v>
      </c>
      <c r="E385" s="6" t="n">
        <v>194</v>
      </c>
      <c r="F385" s="6" t="n">
        <v>420</v>
      </c>
      <c r="G385" s="7" t="n">
        <v>0.461904761904762</v>
      </c>
      <c r="H385" s="8"/>
      <c r="I385" s="8"/>
      <c r="J385" s="7" t="n">
        <v>0.538095238095238</v>
      </c>
    </row>
    <row r="386" customFormat="false" ht="15" hidden="false" customHeight="true" outlineLevel="0" collapsed="false">
      <c r="A386" s="4" t="s">
        <v>417</v>
      </c>
      <c r="B386" s="5" t="s">
        <v>412</v>
      </c>
      <c r="C386" s="5" t="s">
        <v>13</v>
      </c>
      <c r="D386" s="5" t="s">
        <v>24</v>
      </c>
      <c r="E386" s="6" t="n">
        <v>123</v>
      </c>
      <c r="F386" s="6" t="n">
        <v>194</v>
      </c>
      <c r="G386" s="7" t="n">
        <v>0.634020618556701</v>
      </c>
      <c r="H386" s="8"/>
      <c r="I386" s="8"/>
      <c r="J386" s="7" t="n">
        <v>0.365979381443299</v>
      </c>
    </row>
    <row r="387" customFormat="false" ht="15" hidden="false" customHeight="true" outlineLevel="0" collapsed="false">
      <c r="A387" s="4" t="s">
        <v>418</v>
      </c>
      <c r="B387" s="5" t="s">
        <v>412</v>
      </c>
      <c r="C387" s="5" t="s">
        <v>13</v>
      </c>
      <c r="D387" s="5" t="s">
        <v>26</v>
      </c>
      <c r="E387" s="6" t="n">
        <v>74</v>
      </c>
      <c r="F387" s="6" t="n">
        <v>123</v>
      </c>
      <c r="G387" s="7" t="n">
        <v>0.601626016260163</v>
      </c>
      <c r="H387" s="8" t="n">
        <v>84508</v>
      </c>
      <c r="I387" s="8" t="n">
        <v>1142</v>
      </c>
      <c r="J387" s="7" t="n">
        <v>0.398373983739837</v>
      </c>
    </row>
    <row r="388" customFormat="false" ht="15" hidden="false" customHeight="true" outlineLevel="0" collapsed="false">
      <c r="A388" s="4" t="s">
        <v>419</v>
      </c>
      <c r="B388" s="5" t="s">
        <v>412</v>
      </c>
      <c r="C388" s="5" t="s">
        <v>28</v>
      </c>
      <c r="D388" s="5" t="s">
        <v>14</v>
      </c>
      <c r="E388" s="6" t="n">
        <v>13391</v>
      </c>
      <c r="F388" s="6"/>
      <c r="G388" s="7"/>
      <c r="H388" s="8"/>
      <c r="I388" s="8"/>
      <c r="J388" s="7"/>
    </row>
    <row r="389" customFormat="false" ht="15" hidden="false" customHeight="true" outlineLevel="0" collapsed="false">
      <c r="A389" s="4" t="s">
        <v>420</v>
      </c>
      <c r="B389" s="5" t="s">
        <v>412</v>
      </c>
      <c r="C389" s="5" t="s">
        <v>28</v>
      </c>
      <c r="D389" s="5" t="s">
        <v>16</v>
      </c>
      <c r="E389" s="6" t="n">
        <v>7166</v>
      </c>
      <c r="F389" s="6" t="n">
        <v>13391</v>
      </c>
      <c r="G389" s="7" t="n">
        <v>0.535135538794713</v>
      </c>
      <c r="H389" s="8"/>
      <c r="I389" s="8"/>
      <c r="J389" s="7" t="n">
        <v>0.464864461205287</v>
      </c>
    </row>
    <row r="390" customFormat="false" ht="15" hidden="false" customHeight="true" outlineLevel="0" collapsed="false">
      <c r="A390" s="4" t="s">
        <v>421</v>
      </c>
      <c r="B390" s="5" t="s">
        <v>412</v>
      </c>
      <c r="C390" s="5" t="s">
        <v>28</v>
      </c>
      <c r="D390" s="5" t="s">
        <v>18</v>
      </c>
      <c r="E390" s="6" t="n">
        <v>2100</v>
      </c>
      <c r="F390" s="6" t="n">
        <v>7166</v>
      </c>
      <c r="G390" s="7" t="n">
        <v>0.2930505163271</v>
      </c>
      <c r="H390" s="8"/>
      <c r="I390" s="8"/>
      <c r="J390" s="7" t="n">
        <v>0.7069494836729</v>
      </c>
    </row>
    <row r="391" customFormat="false" ht="15" hidden="false" customHeight="true" outlineLevel="0" collapsed="false">
      <c r="A391" s="4" t="s">
        <v>422</v>
      </c>
      <c r="B391" s="5" t="s">
        <v>412</v>
      </c>
      <c r="C391" s="5" t="s">
        <v>28</v>
      </c>
      <c r="D391" s="5" t="s">
        <v>20</v>
      </c>
      <c r="E391" s="6" t="n">
        <v>1431</v>
      </c>
      <c r="F391" s="6" t="n">
        <v>2100</v>
      </c>
      <c r="G391" s="7" t="n">
        <v>0.681428571428571</v>
      </c>
      <c r="H391" s="8"/>
      <c r="I391" s="8"/>
      <c r="J391" s="7" t="n">
        <v>0.318571428571429</v>
      </c>
    </row>
    <row r="392" customFormat="false" ht="15" hidden="false" customHeight="true" outlineLevel="0" collapsed="false">
      <c r="A392" s="4" t="s">
        <v>423</v>
      </c>
      <c r="B392" s="5" t="s">
        <v>412</v>
      </c>
      <c r="C392" s="5" t="s">
        <v>28</v>
      </c>
      <c r="D392" s="5" t="s">
        <v>22</v>
      </c>
      <c r="E392" s="6" t="n">
        <v>660</v>
      </c>
      <c r="F392" s="6" t="n">
        <v>1431</v>
      </c>
      <c r="G392" s="7" t="n">
        <v>0.461215932914046</v>
      </c>
      <c r="H392" s="8"/>
      <c r="I392" s="8"/>
      <c r="J392" s="7" t="n">
        <v>0.538784067085954</v>
      </c>
    </row>
    <row r="393" customFormat="false" ht="15" hidden="false" customHeight="true" outlineLevel="0" collapsed="false">
      <c r="A393" s="4" t="s">
        <v>424</v>
      </c>
      <c r="B393" s="5" t="s">
        <v>412</v>
      </c>
      <c r="C393" s="5" t="s">
        <v>28</v>
      </c>
      <c r="D393" s="5" t="s">
        <v>24</v>
      </c>
      <c r="E393" s="6" t="n">
        <v>338</v>
      </c>
      <c r="F393" s="6" t="n">
        <v>660</v>
      </c>
      <c r="G393" s="7" t="n">
        <v>0.512121212121212</v>
      </c>
      <c r="H393" s="8"/>
      <c r="I393" s="8"/>
      <c r="J393" s="7" t="n">
        <v>0.487878787878788</v>
      </c>
    </row>
    <row r="394" customFormat="false" ht="15" hidden="false" customHeight="true" outlineLevel="0" collapsed="false">
      <c r="A394" s="4" t="s">
        <v>425</v>
      </c>
      <c r="B394" s="5" t="s">
        <v>412</v>
      </c>
      <c r="C394" s="5" t="s">
        <v>28</v>
      </c>
      <c r="D394" s="5" t="s">
        <v>26</v>
      </c>
      <c r="E394" s="6" t="n">
        <v>209</v>
      </c>
      <c r="F394" s="6" t="n">
        <v>338</v>
      </c>
      <c r="G394" s="7" t="n">
        <v>0.618343195266272</v>
      </c>
      <c r="H394" s="8" t="n">
        <v>441408</v>
      </c>
      <c r="I394" s="8" t="n">
        <v>2112</v>
      </c>
      <c r="J394" s="7" t="n">
        <v>0.381656804733728</v>
      </c>
    </row>
    <row r="395" customFormat="false" ht="15" hidden="false" customHeight="true" outlineLevel="0" collapsed="false">
      <c r="A395" s="4" t="s">
        <v>426</v>
      </c>
      <c r="B395" s="5" t="s">
        <v>412</v>
      </c>
      <c r="C395" s="5" t="s">
        <v>36</v>
      </c>
      <c r="D395" s="5" t="s">
        <v>14</v>
      </c>
      <c r="E395" s="6" t="n">
        <v>6572</v>
      </c>
      <c r="F395" s="6"/>
      <c r="G395" s="7"/>
      <c r="H395" s="8"/>
      <c r="I395" s="8"/>
      <c r="J395" s="7"/>
    </row>
    <row r="396" customFormat="false" ht="15" hidden="false" customHeight="true" outlineLevel="0" collapsed="false">
      <c r="A396" s="4" t="s">
        <v>427</v>
      </c>
      <c r="B396" s="5" t="s">
        <v>412</v>
      </c>
      <c r="C396" s="5" t="s">
        <v>36</v>
      </c>
      <c r="D396" s="5" t="s">
        <v>16</v>
      </c>
      <c r="E396" s="6" t="n">
        <v>3766</v>
      </c>
      <c r="F396" s="6" t="n">
        <v>6572</v>
      </c>
      <c r="G396" s="7" t="n">
        <v>0.57303712720633</v>
      </c>
      <c r="H396" s="8"/>
      <c r="I396" s="8"/>
      <c r="J396" s="7" t="n">
        <v>0.42696287279367</v>
      </c>
    </row>
    <row r="397" customFormat="false" ht="15" hidden="false" customHeight="true" outlineLevel="0" collapsed="false">
      <c r="A397" s="4" t="s">
        <v>428</v>
      </c>
      <c r="B397" s="5" t="s">
        <v>412</v>
      </c>
      <c r="C397" s="5" t="s">
        <v>36</v>
      </c>
      <c r="D397" s="5" t="s">
        <v>18</v>
      </c>
      <c r="E397" s="6" t="n">
        <v>996</v>
      </c>
      <c r="F397" s="6" t="n">
        <v>3766</v>
      </c>
      <c r="G397" s="7" t="n">
        <v>0.264471587891662</v>
      </c>
      <c r="H397" s="8"/>
      <c r="I397" s="8"/>
      <c r="J397" s="7" t="n">
        <v>0.735528412108338</v>
      </c>
    </row>
    <row r="398" customFormat="false" ht="15" hidden="false" customHeight="true" outlineLevel="0" collapsed="false">
      <c r="A398" s="4" t="s">
        <v>429</v>
      </c>
      <c r="B398" s="5" t="s">
        <v>412</v>
      </c>
      <c r="C398" s="5" t="s">
        <v>36</v>
      </c>
      <c r="D398" s="5" t="s">
        <v>20</v>
      </c>
      <c r="E398" s="6" t="n">
        <v>743</v>
      </c>
      <c r="F398" s="6" t="n">
        <v>996</v>
      </c>
      <c r="G398" s="7" t="n">
        <v>0.745983935742972</v>
      </c>
      <c r="H398" s="8"/>
      <c r="I398" s="8"/>
      <c r="J398" s="7" t="n">
        <v>0.254016064257028</v>
      </c>
    </row>
    <row r="399" customFormat="false" ht="15" hidden="false" customHeight="true" outlineLevel="0" collapsed="false">
      <c r="A399" s="4" t="s">
        <v>430</v>
      </c>
      <c r="B399" s="5" t="s">
        <v>412</v>
      </c>
      <c r="C399" s="5" t="s">
        <v>36</v>
      </c>
      <c r="D399" s="5" t="s">
        <v>22</v>
      </c>
      <c r="E399" s="6" t="n">
        <v>367</v>
      </c>
      <c r="F399" s="6" t="n">
        <v>743</v>
      </c>
      <c r="G399" s="7" t="n">
        <v>0.493943472409152</v>
      </c>
      <c r="H399" s="8"/>
      <c r="I399" s="8"/>
      <c r="J399" s="7" t="n">
        <v>0.506056527590848</v>
      </c>
    </row>
    <row r="400" customFormat="false" ht="15" hidden="false" customHeight="true" outlineLevel="0" collapsed="false">
      <c r="A400" s="4" t="s">
        <v>431</v>
      </c>
      <c r="B400" s="5" t="s">
        <v>412</v>
      </c>
      <c r="C400" s="5" t="s">
        <v>36</v>
      </c>
      <c r="D400" s="5" t="s">
        <v>24</v>
      </c>
      <c r="E400" s="6" t="n">
        <v>245</v>
      </c>
      <c r="F400" s="6" t="n">
        <v>367</v>
      </c>
      <c r="G400" s="7" t="n">
        <v>0.667574931880109</v>
      </c>
      <c r="H400" s="8"/>
      <c r="I400" s="8"/>
      <c r="J400" s="7" t="n">
        <v>0.332425068119891</v>
      </c>
    </row>
    <row r="401" customFormat="false" ht="15" hidden="false" customHeight="true" outlineLevel="0" collapsed="false">
      <c r="A401" s="4" t="s">
        <v>432</v>
      </c>
      <c r="B401" s="5" t="s">
        <v>412</v>
      </c>
      <c r="C401" s="5" t="s">
        <v>36</v>
      </c>
      <c r="D401" s="5" t="s">
        <v>26</v>
      </c>
      <c r="E401" s="6" t="n">
        <v>155</v>
      </c>
      <c r="F401" s="6" t="n">
        <v>245</v>
      </c>
      <c r="G401" s="7" t="n">
        <v>0.63265306122449</v>
      </c>
      <c r="H401" s="8" t="n">
        <v>209560</v>
      </c>
      <c r="I401" s="8" t="n">
        <v>1352</v>
      </c>
      <c r="J401" s="7" t="n">
        <v>0.36734693877551</v>
      </c>
    </row>
    <row r="402" customFormat="false" ht="15" hidden="false" customHeight="true" outlineLevel="0" collapsed="false">
      <c r="A402" s="4" t="s">
        <v>433</v>
      </c>
      <c r="B402" s="5" t="s">
        <v>412</v>
      </c>
      <c r="C402" s="5" t="s">
        <v>44</v>
      </c>
      <c r="D402" s="5" t="s">
        <v>14</v>
      </c>
      <c r="E402" s="6" t="n">
        <v>14316</v>
      </c>
      <c r="F402" s="6"/>
      <c r="G402" s="7"/>
      <c r="H402" s="8"/>
      <c r="I402" s="8"/>
      <c r="J402" s="7"/>
    </row>
    <row r="403" customFormat="false" ht="15" hidden="false" customHeight="true" outlineLevel="0" collapsed="false">
      <c r="A403" s="4" t="s">
        <v>434</v>
      </c>
      <c r="B403" s="5" t="s">
        <v>412</v>
      </c>
      <c r="C403" s="5" t="s">
        <v>44</v>
      </c>
      <c r="D403" s="5" t="s">
        <v>16</v>
      </c>
      <c r="E403" s="6" t="n">
        <v>7111</v>
      </c>
      <c r="F403" s="6" t="n">
        <v>14316</v>
      </c>
      <c r="G403" s="7" t="n">
        <v>0.496716960044705</v>
      </c>
      <c r="H403" s="8"/>
      <c r="I403" s="8"/>
      <c r="J403" s="7" t="n">
        <v>0.503283039955295</v>
      </c>
    </row>
    <row r="404" customFormat="false" ht="15" hidden="false" customHeight="true" outlineLevel="0" collapsed="false">
      <c r="A404" s="4" t="s">
        <v>435</v>
      </c>
      <c r="B404" s="5" t="s">
        <v>412</v>
      </c>
      <c r="C404" s="5" t="s">
        <v>44</v>
      </c>
      <c r="D404" s="5" t="s">
        <v>18</v>
      </c>
      <c r="E404" s="6" t="n">
        <v>2079</v>
      </c>
      <c r="F404" s="6" t="n">
        <v>7111</v>
      </c>
      <c r="G404" s="7" t="n">
        <v>0.292363943186612</v>
      </c>
      <c r="H404" s="8"/>
      <c r="I404" s="8"/>
      <c r="J404" s="7" t="n">
        <v>0.707636056813388</v>
      </c>
    </row>
    <row r="405" customFormat="false" ht="15" hidden="false" customHeight="true" outlineLevel="0" collapsed="false">
      <c r="A405" s="4" t="s">
        <v>436</v>
      </c>
      <c r="B405" s="5" t="s">
        <v>412</v>
      </c>
      <c r="C405" s="5" t="s">
        <v>44</v>
      </c>
      <c r="D405" s="5" t="s">
        <v>20</v>
      </c>
      <c r="E405" s="6" t="n">
        <v>1274</v>
      </c>
      <c r="F405" s="6" t="n">
        <v>2079</v>
      </c>
      <c r="G405" s="7" t="n">
        <v>0.612794612794613</v>
      </c>
      <c r="H405" s="8"/>
      <c r="I405" s="8"/>
      <c r="J405" s="7" t="n">
        <v>0.387205387205387</v>
      </c>
    </row>
    <row r="406" customFormat="false" ht="15" hidden="false" customHeight="true" outlineLevel="0" collapsed="false">
      <c r="A406" s="4" t="s">
        <v>437</v>
      </c>
      <c r="B406" s="5" t="s">
        <v>412</v>
      </c>
      <c r="C406" s="5" t="s">
        <v>44</v>
      </c>
      <c r="D406" s="5" t="s">
        <v>22</v>
      </c>
      <c r="E406" s="6" t="n">
        <v>519</v>
      </c>
      <c r="F406" s="6" t="n">
        <v>1274</v>
      </c>
      <c r="G406" s="7" t="n">
        <v>0.407378335949765</v>
      </c>
      <c r="H406" s="8"/>
      <c r="I406" s="8"/>
      <c r="J406" s="7" t="n">
        <v>0.592621664050236</v>
      </c>
    </row>
    <row r="407" customFormat="false" ht="15" hidden="false" customHeight="true" outlineLevel="0" collapsed="false">
      <c r="A407" s="4" t="s">
        <v>438</v>
      </c>
      <c r="B407" s="5" t="s">
        <v>412</v>
      </c>
      <c r="C407" s="5" t="s">
        <v>44</v>
      </c>
      <c r="D407" s="5" t="s">
        <v>24</v>
      </c>
      <c r="E407" s="6" t="n">
        <v>303</v>
      </c>
      <c r="F407" s="6" t="n">
        <v>519</v>
      </c>
      <c r="G407" s="7" t="n">
        <v>0.583815028901734</v>
      </c>
      <c r="H407" s="8"/>
      <c r="I407" s="8"/>
      <c r="J407" s="7" t="n">
        <v>0.416184971098266</v>
      </c>
    </row>
    <row r="408" customFormat="false" ht="15" hidden="false" customHeight="true" outlineLevel="0" collapsed="false">
      <c r="A408" s="4" t="s">
        <v>439</v>
      </c>
      <c r="B408" s="5" t="s">
        <v>412</v>
      </c>
      <c r="C408" s="5" t="s">
        <v>44</v>
      </c>
      <c r="D408" s="5" t="s">
        <v>26</v>
      </c>
      <c r="E408" s="6" t="n">
        <v>220</v>
      </c>
      <c r="F408" s="6" t="n">
        <v>303</v>
      </c>
      <c r="G408" s="7" t="n">
        <v>0.726072607260726</v>
      </c>
      <c r="H408" s="8" t="n">
        <v>245960</v>
      </c>
      <c r="I408" s="8" t="n">
        <v>1118</v>
      </c>
      <c r="J408" s="7" t="n">
        <v>0.273927392739274</v>
      </c>
    </row>
    <row r="409" customFormat="false" ht="15" hidden="false" customHeight="true" outlineLevel="0" collapsed="false">
      <c r="A409" s="4" t="s">
        <v>440</v>
      </c>
      <c r="B409" s="5" t="s">
        <v>412</v>
      </c>
      <c r="C409" s="5" t="s">
        <v>52</v>
      </c>
      <c r="D409" s="5" t="s">
        <v>14</v>
      </c>
      <c r="E409" s="6" t="n">
        <v>7406</v>
      </c>
      <c r="F409" s="6"/>
      <c r="G409" s="7"/>
      <c r="H409" s="8"/>
      <c r="I409" s="8"/>
      <c r="J409" s="7"/>
    </row>
    <row r="410" customFormat="false" ht="15" hidden="false" customHeight="true" outlineLevel="0" collapsed="false">
      <c r="A410" s="4" t="s">
        <v>441</v>
      </c>
      <c r="B410" s="5" t="s">
        <v>412</v>
      </c>
      <c r="C410" s="5" t="s">
        <v>52</v>
      </c>
      <c r="D410" s="5" t="s">
        <v>16</v>
      </c>
      <c r="E410" s="6" t="n">
        <v>3833</v>
      </c>
      <c r="F410" s="6" t="n">
        <v>7406</v>
      </c>
      <c r="G410" s="7" t="n">
        <v>0.517553335133675</v>
      </c>
      <c r="H410" s="8"/>
      <c r="I410" s="8"/>
      <c r="J410" s="7" t="n">
        <v>0.482446664866325</v>
      </c>
    </row>
    <row r="411" customFormat="false" ht="15" hidden="false" customHeight="true" outlineLevel="0" collapsed="false">
      <c r="A411" s="4" t="s">
        <v>442</v>
      </c>
      <c r="B411" s="5" t="s">
        <v>412</v>
      </c>
      <c r="C411" s="5" t="s">
        <v>52</v>
      </c>
      <c r="D411" s="5" t="s">
        <v>18</v>
      </c>
      <c r="E411" s="6" t="n">
        <v>1270</v>
      </c>
      <c r="F411" s="6" t="n">
        <v>3833</v>
      </c>
      <c r="G411" s="7" t="n">
        <v>0.331333159405166</v>
      </c>
      <c r="H411" s="8"/>
      <c r="I411" s="8"/>
      <c r="J411" s="7" t="n">
        <v>0.668666840594834</v>
      </c>
    </row>
    <row r="412" customFormat="false" ht="15" hidden="false" customHeight="true" outlineLevel="0" collapsed="false">
      <c r="A412" s="4" t="s">
        <v>443</v>
      </c>
      <c r="B412" s="5" t="s">
        <v>412</v>
      </c>
      <c r="C412" s="5" t="s">
        <v>52</v>
      </c>
      <c r="D412" s="5" t="s">
        <v>20</v>
      </c>
      <c r="E412" s="6" t="n">
        <v>881</v>
      </c>
      <c r="F412" s="6" t="n">
        <v>1270</v>
      </c>
      <c r="G412" s="7" t="n">
        <v>0.693700787401575</v>
      </c>
      <c r="H412" s="8"/>
      <c r="I412" s="8"/>
      <c r="J412" s="7" t="n">
        <v>0.306299212598425</v>
      </c>
    </row>
    <row r="413" customFormat="false" ht="15" hidden="false" customHeight="true" outlineLevel="0" collapsed="false">
      <c r="A413" s="4" t="s">
        <v>444</v>
      </c>
      <c r="B413" s="5" t="s">
        <v>412</v>
      </c>
      <c r="C413" s="5" t="s">
        <v>52</v>
      </c>
      <c r="D413" s="5" t="s">
        <v>22</v>
      </c>
      <c r="E413" s="6" t="n">
        <v>426</v>
      </c>
      <c r="F413" s="6" t="n">
        <v>881</v>
      </c>
      <c r="G413" s="7" t="n">
        <v>0.483541430192963</v>
      </c>
      <c r="H413" s="8"/>
      <c r="I413" s="8"/>
      <c r="J413" s="7" t="n">
        <v>0.516458569807037</v>
      </c>
    </row>
    <row r="414" customFormat="false" ht="15" hidden="false" customHeight="true" outlineLevel="0" collapsed="false">
      <c r="A414" s="4" t="s">
        <v>445</v>
      </c>
      <c r="B414" s="5" t="s">
        <v>412</v>
      </c>
      <c r="C414" s="5" t="s">
        <v>52</v>
      </c>
      <c r="D414" s="5" t="s">
        <v>24</v>
      </c>
      <c r="E414" s="6" t="n">
        <v>273</v>
      </c>
      <c r="F414" s="6" t="n">
        <v>426</v>
      </c>
      <c r="G414" s="7" t="n">
        <v>0.640845070422535</v>
      </c>
      <c r="H414" s="8"/>
      <c r="I414" s="8"/>
      <c r="J414" s="7" t="n">
        <v>0.359154929577465</v>
      </c>
    </row>
    <row r="415" customFormat="false" ht="15" hidden="false" customHeight="true" outlineLevel="0" collapsed="false">
      <c r="A415" s="4" t="s">
        <v>446</v>
      </c>
      <c r="B415" s="5" t="s">
        <v>412</v>
      </c>
      <c r="C415" s="5" t="s">
        <v>52</v>
      </c>
      <c r="D415" s="5" t="s">
        <v>26</v>
      </c>
      <c r="E415" s="6" t="n">
        <v>164</v>
      </c>
      <c r="F415" s="6" t="n">
        <v>273</v>
      </c>
      <c r="G415" s="7" t="n">
        <v>0.600732600732601</v>
      </c>
      <c r="H415" s="8" t="n">
        <v>537428</v>
      </c>
      <c r="I415" s="8" t="n">
        <v>3277</v>
      </c>
      <c r="J415" s="7" t="n">
        <v>0.399267399267399</v>
      </c>
    </row>
    <row r="416" customFormat="false" ht="15" hidden="false" customHeight="true" outlineLevel="0" collapsed="false">
      <c r="A416" s="4" t="s">
        <v>447</v>
      </c>
      <c r="B416" s="5" t="s">
        <v>412</v>
      </c>
      <c r="C416" s="5" t="s">
        <v>60</v>
      </c>
      <c r="D416" s="5" t="s">
        <v>14</v>
      </c>
      <c r="E416" s="6" t="n">
        <v>4144</v>
      </c>
      <c r="F416" s="6"/>
      <c r="G416" s="7"/>
      <c r="H416" s="8"/>
      <c r="I416" s="8"/>
      <c r="J416" s="7"/>
    </row>
    <row r="417" customFormat="false" ht="15" hidden="false" customHeight="true" outlineLevel="0" collapsed="false">
      <c r="A417" s="4" t="s">
        <v>448</v>
      </c>
      <c r="B417" s="5" t="s">
        <v>412</v>
      </c>
      <c r="C417" s="5" t="s">
        <v>60</v>
      </c>
      <c r="D417" s="5" t="s">
        <v>16</v>
      </c>
      <c r="E417" s="6" t="n">
        <v>2204</v>
      </c>
      <c r="F417" s="6" t="n">
        <v>4144</v>
      </c>
      <c r="G417" s="7" t="n">
        <v>0.531853281853282</v>
      </c>
      <c r="H417" s="8"/>
      <c r="I417" s="8"/>
      <c r="J417" s="7" t="n">
        <v>0.468146718146718</v>
      </c>
    </row>
    <row r="418" customFormat="false" ht="15" hidden="false" customHeight="true" outlineLevel="0" collapsed="false">
      <c r="A418" s="4" t="s">
        <v>449</v>
      </c>
      <c r="B418" s="5" t="s">
        <v>412</v>
      </c>
      <c r="C418" s="5" t="s">
        <v>60</v>
      </c>
      <c r="D418" s="5" t="s">
        <v>18</v>
      </c>
      <c r="E418" s="6" t="n">
        <v>738</v>
      </c>
      <c r="F418" s="6" t="n">
        <v>2204</v>
      </c>
      <c r="G418" s="7" t="n">
        <v>0.334845735027223</v>
      </c>
      <c r="H418" s="8"/>
      <c r="I418" s="8"/>
      <c r="J418" s="7" t="n">
        <v>0.665154264972777</v>
      </c>
    </row>
    <row r="419" customFormat="false" ht="15" hidden="false" customHeight="true" outlineLevel="0" collapsed="false">
      <c r="A419" s="4" t="s">
        <v>450</v>
      </c>
      <c r="B419" s="5" t="s">
        <v>412</v>
      </c>
      <c r="C419" s="5" t="s">
        <v>60</v>
      </c>
      <c r="D419" s="5" t="s">
        <v>20</v>
      </c>
      <c r="E419" s="6" t="n">
        <v>493</v>
      </c>
      <c r="F419" s="6" t="n">
        <v>738</v>
      </c>
      <c r="G419" s="7" t="n">
        <v>0.668021680216802</v>
      </c>
      <c r="H419" s="8"/>
      <c r="I419" s="8"/>
      <c r="J419" s="7" t="n">
        <v>0.331978319783198</v>
      </c>
    </row>
    <row r="420" customFormat="false" ht="15" hidden="false" customHeight="true" outlineLevel="0" collapsed="false">
      <c r="A420" s="4" t="s">
        <v>451</v>
      </c>
      <c r="B420" s="5" t="s">
        <v>412</v>
      </c>
      <c r="C420" s="5" t="s">
        <v>60</v>
      </c>
      <c r="D420" s="5" t="s">
        <v>22</v>
      </c>
      <c r="E420" s="6" t="n">
        <v>203</v>
      </c>
      <c r="F420" s="6" t="n">
        <v>493</v>
      </c>
      <c r="G420" s="7" t="n">
        <v>0.411764705882353</v>
      </c>
      <c r="H420" s="8"/>
      <c r="I420" s="8"/>
      <c r="J420" s="7" t="n">
        <v>0.588235294117647</v>
      </c>
    </row>
    <row r="421" customFormat="false" ht="15" hidden="false" customHeight="true" outlineLevel="0" collapsed="false">
      <c r="A421" s="4" t="s">
        <v>452</v>
      </c>
      <c r="B421" s="5" t="s">
        <v>412</v>
      </c>
      <c r="C421" s="5" t="s">
        <v>60</v>
      </c>
      <c r="D421" s="5" t="s">
        <v>24</v>
      </c>
      <c r="E421" s="6" t="n">
        <v>139</v>
      </c>
      <c r="F421" s="6" t="n">
        <v>203</v>
      </c>
      <c r="G421" s="7" t="n">
        <v>0.684729064039409</v>
      </c>
      <c r="H421" s="8"/>
      <c r="I421" s="8"/>
      <c r="J421" s="7" t="n">
        <v>0.315270935960591</v>
      </c>
    </row>
    <row r="422" customFormat="false" ht="15" hidden="false" customHeight="true" outlineLevel="0" collapsed="false">
      <c r="A422" s="4" t="s">
        <v>453</v>
      </c>
      <c r="B422" s="5" t="s">
        <v>412</v>
      </c>
      <c r="C422" s="5" t="s">
        <v>60</v>
      </c>
      <c r="D422" s="5" t="s">
        <v>26</v>
      </c>
      <c r="E422" s="6" t="n">
        <v>105</v>
      </c>
      <c r="F422" s="6" t="n">
        <v>139</v>
      </c>
      <c r="G422" s="7" t="n">
        <v>0.755395683453237</v>
      </c>
      <c r="H422" s="8" t="n">
        <v>215775</v>
      </c>
      <c r="I422" s="8" t="n">
        <v>2055</v>
      </c>
      <c r="J422" s="7" t="n">
        <v>0.244604316546763</v>
      </c>
    </row>
    <row r="423" customFormat="false" ht="15" hidden="false" customHeight="true" outlineLevel="0" collapsed="false">
      <c r="A423" s="4" t="s">
        <v>454</v>
      </c>
      <c r="B423" s="5" t="s">
        <v>455</v>
      </c>
      <c r="C423" s="5" t="s">
        <v>13</v>
      </c>
      <c r="D423" s="5" t="s">
        <v>14</v>
      </c>
      <c r="E423" s="6" t="n">
        <v>10338</v>
      </c>
      <c r="F423" s="6"/>
      <c r="G423" s="7"/>
      <c r="H423" s="8"/>
      <c r="I423" s="8"/>
      <c r="J423" s="7"/>
    </row>
    <row r="424" customFormat="false" ht="15" hidden="false" customHeight="true" outlineLevel="0" collapsed="false">
      <c r="A424" s="4" t="s">
        <v>456</v>
      </c>
      <c r="B424" s="5" t="s">
        <v>455</v>
      </c>
      <c r="C424" s="5" t="s">
        <v>13</v>
      </c>
      <c r="D424" s="5" t="s">
        <v>16</v>
      </c>
      <c r="E424" s="6" t="n">
        <v>5264</v>
      </c>
      <c r="F424" s="6" t="n">
        <v>10338</v>
      </c>
      <c r="G424" s="7" t="n">
        <v>0.509189398336235</v>
      </c>
      <c r="H424" s="8"/>
      <c r="I424" s="8"/>
      <c r="J424" s="7" t="n">
        <v>0.490810601663765</v>
      </c>
    </row>
    <row r="425" customFormat="false" ht="15" hidden="false" customHeight="true" outlineLevel="0" collapsed="false">
      <c r="A425" s="4" t="s">
        <v>457</v>
      </c>
      <c r="B425" s="5" t="s">
        <v>455</v>
      </c>
      <c r="C425" s="5" t="s">
        <v>13</v>
      </c>
      <c r="D425" s="5" t="s">
        <v>18</v>
      </c>
      <c r="E425" s="6" t="n">
        <v>1429</v>
      </c>
      <c r="F425" s="6" t="n">
        <v>5264</v>
      </c>
      <c r="G425" s="7" t="n">
        <v>0.271466565349544</v>
      </c>
      <c r="H425" s="8"/>
      <c r="I425" s="8"/>
      <c r="J425" s="7" t="n">
        <v>0.728533434650456</v>
      </c>
    </row>
    <row r="426" customFormat="false" ht="15" hidden="false" customHeight="true" outlineLevel="0" collapsed="false">
      <c r="A426" s="4" t="s">
        <v>458</v>
      </c>
      <c r="B426" s="5" t="s">
        <v>455</v>
      </c>
      <c r="C426" s="5" t="s">
        <v>13</v>
      </c>
      <c r="D426" s="5" t="s">
        <v>20</v>
      </c>
      <c r="E426" s="6" t="n">
        <v>868</v>
      </c>
      <c r="F426" s="6" t="n">
        <v>1429</v>
      </c>
      <c r="G426" s="7" t="n">
        <v>0.6074177746676</v>
      </c>
      <c r="H426" s="8"/>
      <c r="I426" s="8"/>
      <c r="J426" s="7" t="n">
        <v>0.3925822253324</v>
      </c>
    </row>
    <row r="427" customFormat="false" ht="15" hidden="false" customHeight="true" outlineLevel="0" collapsed="false">
      <c r="A427" s="4" t="s">
        <v>459</v>
      </c>
      <c r="B427" s="5" t="s">
        <v>455</v>
      </c>
      <c r="C427" s="5" t="s">
        <v>13</v>
      </c>
      <c r="D427" s="5" t="s">
        <v>22</v>
      </c>
      <c r="E427" s="6" t="n">
        <v>354</v>
      </c>
      <c r="F427" s="6" t="n">
        <v>868</v>
      </c>
      <c r="G427" s="7" t="n">
        <v>0.407834101382489</v>
      </c>
      <c r="H427" s="8"/>
      <c r="I427" s="8"/>
      <c r="J427" s="7" t="n">
        <v>0.592165898617512</v>
      </c>
    </row>
    <row r="428" customFormat="false" ht="15" hidden="false" customHeight="true" outlineLevel="0" collapsed="false">
      <c r="A428" s="4" t="s">
        <v>460</v>
      </c>
      <c r="B428" s="5" t="s">
        <v>455</v>
      </c>
      <c r="C428" s="5" t="s">
        <v>13</v>
      </c>
      <c r="D428" s="5" t="s">
        <v>24</v>
      </c>
      <c r="E428" s="6" t="n">
        <v>213</v>
      </c>
      <c r="F428" s="6" t="n">
        <v>354</v>
      </c>
      <c r="G428" s="7" t="n">
        <v>0.601694915254237</v>
      </c>
      <c r="H428" s="8"/>
      <c r="I428" s="8"/>
      <c r="J428" s="7" t="n">
        <v>0.398305084745763</v>
      </c>
    </row>
    <row r="429" customFormat="false" ht="15" hidden="false" customHeight="true" outlineLevel="0" collapsed="false">
      <c r="A429" s="4" t="s">
        <v>461</v>
      </c>
      <c r="B429" s="5" t="s">
        <v>455</v>
      </c>
      <c r="C429" s="5" t="s">
        <v>13</v>
      </c>
      <c r="D429" s="5" t="s">
        <v>26</v>
      </c>
      <c r="E429" s="6" t="n">
        <v>162</v>
      </c>
      <c r="F429" s="6" t="n">
        <v>213</v>
      </c>
      <c r="G429" s="7" t="n">
        <v>0.76056338028169</v>
      </c>
      <c r="H429" s="8" t="n">
        <v>282042</v>
      </c>
      <c r="I429" s="8" t="n">
        <v>1741</v>
      </c>
      <c r="J429" s="7" t="n">
        <v>0.23943661971831</v>
      </c>
    </row>
    <row r="430" customFormat="false" ht="15" hidden="false" customHeight="true" outlineLevel="0" collapsed="false">
      <c r="A430" s="4" t="s">
        <v>462</v>
      </c>
      <c r="B430" s="5" t="s">
        <v>455</v>
      </c>
      <c r="C430" s="5" t="s">
        <v>28</v>
      </c>
      <c r="D430" s="5" t="s">
        <v>14</v>
      </c>
      <c r="E430" s="6" t="n">
        <v>13054</v>
      </c>
      <c r="F430" s="6"/>
      <c r="G430" s="7"/>
      <c r="H430" s="8"/>
      <c r="I430" s="8"/>
      <c r="J430" s="7"/>
    </row>
    <row r="431" customFormat="false" ht="15" hidden="false" customHeight="true" outlineLevel="0" collapsed="false">
      <c r="A431" s="4" t="s">
        <v>463</v>
      </c>
      <c r="B431" s="5" t="s">
        <v>455</v>
      </c>
      <c r="C431" s="5" t="s">
        <v>28</v>
      </c>
      <c r="D431" s="5" t="s">
        <v>16</v>
      </c>
      <c r="E431" s="6" t="n">
        <v>7214</v>
      </c>
      <c r="F431" s="6" t="n">
        <v>13054</v>
      </c>
      <c r="G431" s="7" t="n">
        <v>0.552627547111996</v>
      </c>
      <c r="H431" s="8"/>
      <c r="I431" s="8"/>
      <c r="J431" s="7" t="n">
        <v>0.447372452888004</v>
      </c>
    </row>
    <row r="432" customFormat="false" ht="15" hidden="false" customHeight="true" outlineLevel="0" collapsed="false">
      <c r="A432" s="4" t="s">
        <v>464</v>
      </c>
      <c r="B432" s="5" t="s">
        <v>455</v>
      </c>
      <c r="C432" s="5" t="s">
        <v>28</v>
      </c>
      <c r="D432" s="5" t="s">
        <v>18</v>
      </c>
      <c r="E432" s="6" t="n">
        <v>1986</v>
      </c>
      <c r="F432" s="6" t="n">
        <v>7214</v>
      </c>
      <c r="G432" s="7" t="n">
        <v>0.275298031605212</v>
      </c>
      <c r="H432" s="8"/>
      <c r="I432" s="8"/>
      <c r="J432" s="7" t="n">
        <v>0.724701968394788</v>
      </c>
    </row>
    <row r="433" customFormat="false" ht="15" hidden="false" customHeight="true" outlineLevel="0" collapsed="false">
      <c r="A433" s="4" t="s">
        <v>465</v>
      </c>
      <c r="B433" s="5" t="s">
        <v>455</v>
      </c>
      <c r="C433" s="5" t="s">
        <v>28</v>
      </c>
      <c r="D433" s="5" t="s">
        <v>20</v>
      </c>
      <c r="E433" s="6" t="n">
        <v>1265</v>
      </c>
      <c r="F433" s="6" t="n">
        <v>1986</v>
      </c>
      <c r="G433" s="7" t="n">
        <v>0.636958710976838</v>
      </c>
      <c r="H433" s="8"/>
      <c r="I433" s="8"/>
      <c r="J433" s="7" t="n">
        <v>0.363041289023162</v>
      </c>
    </row>
    <row r="434" customFormat="false" ht="15" hidden="false" customHeight="true" outlineLevel="0" collapsed="false">
      <c r="A434" s="4" t="s">
        <v>466</v>
      </c>
      <c r="B434" s="5" t="s">
        <v>455</v>
      </c>
      <c r="C434" s="5" t="s">
        <v>28</v>
      </c>
      <c r="D434" s="5" t="s">
        <v>22</v>
      </c>
      <c r="E434" s="6" t="n">
        <v>508</v>
      </c>
      <c r="F434" s="6" t="n">
        <v>1265</v>
      </c>
      <c r="G434" s="7" t="n">
        <v>0.401581027667984</v>
      </c>
      <c r="H434" s="8"/>
      <c r="I434" s="8"/>
      <c r="J434" s="7" t="n">
        <v>0.598418972332016</v>
      </c>
    </row>
    <row r="435" customFormat="false" ht="15" hidden="false" customHeight="true" outlineLevel="0" collapsed="false">
      <c r="A435" s="4" t="s">
        <v>467</v>
      </c>
      <c r="B435" s="5" t="s">
        <v>455</v>
      </c>
      <c r="C435" s="5" t="s">
        <v>28</v>
      </c>
      <c r="D435" s="5" t="s">
        <v>24</v>
      </c>
      <c r="E435" s="6" t="n">
        <v>259</v>
      </c>
      <c r="F435" s="6" t="n">
        <v>508</v>
      </c>
      <c r="G435" s="7" t="n">
        <v>0.509842519685039</v>
      </c>
      <c r="H435" s="8"/>
      <c r="I435" s="8"/>
      <c r="J435" s="7" t="n">
        <v>0.490157480314961</v>
      </c>
    </row>
    <row r="436" customFormat="false" ht="15" hidden="false" customHeight="true" outlineLevel="0" collapsed="false">
      <c r="A436" s="4" t="s">
        <v>468</v>
      </c>
      <c r="B436" s="5" t="s">
        <v>455</v>
      </c>
      <c r="C436" s="5" t="s">
        <v>28</v>
      </c>
      <c r="D436" s="5" t="s">
        <v>26</v>
      </c>
      <c r="E436" s="6" t="n">
        <v>193</v>
      </c>
      <c r="F436" s="6" t="n">
        <v>259</v>
      </c>
      <c r="G436" s="7" t="n">
        <v>0.745173745173745</v>
      </c>
      <c r="H436" s="8" t="n">
        <v>734172</v>
      </c>
      <c r="I436" s="8" t="n">
        <v>3804</v>
      </c>
      <c r="J436" s="7" t="n">
        <v>0.254826254826255</v>
      </c>
    </row>
    <row r="437" customFormat="false" ht="15" hidden="false" customHeight="true" outlineLevel="0" collapsed="false">
      <c r="A437" s="4" t="s">
        <v>469</v>
      </c>
      <c r="B437" s="5" t="s">
        <v>455</v>
      </c>
      <c r="C437" s="5" t="s">
        <v>36</v>
      </c>
      <c r="D437" s="5" t="s">
        <v>14</v>
      </c>
      <c r="E437" s="6" t="n">
        <v>9546</v>
      </c>
      <c r="F437" s="6"/>
      <c r="G437" s="7"/>
      <c r="H437" s="8"/>
      <c r="I437" s="8"/>
      <c r="J437" s="7"/>
    </row>
    <row r="438" customFormat="false" ht="15" hidden="false" customHeight="true" outlineLevel="0" collapsed="false">
      <c r="A438" s="4" t="s">
        <v>470</v>
      </c>
      <c r="B438" s="5" t="s">
        <v>455</v>
      </c>
      <c r="C438" s="5" t="s">
        <v>36</v>
      </c>
      <c r="D438" s="5" t="s">
        <v>16</v>
      </c>
      <c r="E438" s="6" t="n">
        <v>4592</v>
      </c>
      <c r="F438" s="6" t="n">
        <v>9546</v>
      </c>
      <c r="G438" s="7" t="n">
        <v>0.481039178713597</v>
      </c>
      <c r="H438" s="8"/>
      <c r="I438" s="8"/>
      <c r="J438" s="7" t="n">
        <v>0.518960821286403</v>
      </c>
    </row>
    <row r="439" customFormat="false" ht="15" hidden="false" customHeight="true" outlineLevel="0" collapsed="false">
      <c r="A439" s="4" t="s">
        <v>471</v>
      </c>
      <c r="B439" s="5" t="s">
        <v>455</v>
      </c>
      <c r="C439" s="5" t="s">
        <v>36</v>
      </c>
      <c r="D439" s="5" t="s">
        <v>18</v>
      </c>
      <c r="E439" s="6" t="n">
        <v>1345</v>
      </c>
      <c r="F439" s="6" t="n">
        <v>4592</v>
      </c>
      <c r="G439" s="7" t="n">
        <v>0.292900696864112</v>
      </c>
      <c r="H439" s="8"/>
      <c r="I439" s="8"/>
      <c r="J439" s="7" t="n">
        <v>0.707099303135889</v>
      </c>
    </row>
    <row r="440" customFormat="false" ht="15" hidden="false" customHeight="true" outlineLevel="0" collapsed="false">
      <c r="A440" s="4" t="s">
        <v>472</v>
      </c>
      <c r="B440" s="5" t="s">
        <v>455</v>
      </c>
      <c r="C440" s="5" t="s">
        <v>36</v>
      </c>
      <c r="D440" s="5" t="s">
        <v>20</v>
      </c>
      <c r="E440" s="6" t="n">
        <v>854</v>
      </c>
      <c r="F440" s="6" t="n">
        <v>1345</v>
      </c>
      <c r="G440" s="7" t="n">
        <v>0.634944237918216</v>
      </c>
      <c r="H440" s="8"/>
      <c r="I440" s="8"/>
      <c r="J440" s="7" t="n">
        <v>0.365055762081784</v>
      </c>
    </row>
    <row r="441" customFormat="false" ht="15" hidden="false" customHeight="true" outlineLevel="0" collapsed="false">
      <c r="A441" s="4" t="s">
        <v>473</v>
      </c>
      <c r="B441" s="5" t="s">
        <v>455</v>
      </c>
      <c r="C441" s="5" t="s">
        <v>36</v>
      </c>
      <c r="D441" s="5" t="s">
        <v>22</v>
      </c>
      <c r="E441" s="6" t="n">
        <v>338</v>
      </c>
      <c r="F441" s="6" t="n">
        <v>854</v>
      </c>
      <c r="G441" s="7" t="n">
        <v>0.395784543325527</v>
      </c>
      <c r="H441" s="8"/>
      <c r="I441" s="8"/>
      <c r="J441" s="7" t="n">
        <v>0.604215456674473</v>
      </c>
    </row>
    <row r="442" customFormat="false" ht="15" hidden="false" customHeight="true" outlineLevel="0" collapsed="false">
      <c r="A442" s="4" t="s">
        <v>474</v>
      </c>
      <c r="B442" s="5" t="s">
        <v>455</v>
      </c>
      <c r="C442" s="5" t="s">
        <v>36</v>
      </c>
      <c r="D442" s="5" t="s">
        <v>24</v>
      </c>
      <c r="E442" s="6" t="n">
        <v>172</v>
      </c>
      <c r="F442" s="6" t="n">
        <v>338</v>
      </c>
      <c r="G442" s="7" t="n">
        <v>0.508875739644971</v>
      </c>
      <c r="H442" s="8"/>
      <c r="I442" s="8"/>
      <c r="J442" s="7" t="n">
        <v>0.49112426035503</v>
      </c>
    </row>
    <row r="443" customFormat="false" ht="15" hidden="false" customHeight="true" outlineLevel="0" collapsed="false">
      <c r="A443" s="4" t="s">
        <v>475</v>
      </c>
      <c r="B443" s="5" t="s">
        <v>455</v>
      </c>
      <c r="C443" s="5" t="s">
        <v>36</v>
      </c>
      <c r="D443" s="5" t="s">
        <v>26</v>
      </c>
      <c r="E443" s="6" t="n">
        <v>133</v>
      </c>
      <c r="F443" s="6" t="n">
        <v>172</v>
      </c>
      <c r="G443" s="7" t="n">
        <v>0.773255813953488</v>
      </c>
      <c r="H443" s="8" t="n">
        <v>154280</v>
      </c>
      <c r="I443" s="8" t="n">
        <v>1160</v>
      </c>
      <c r="J443" s="7" t="n">
        <v>0.226744186046512</v>
      </c>
    </row>
    <row r="444" customFormat="false" ht="15" hidden="false" customHeight="true" outlineLevel="0" collapsed="false">
      <c r="A444" s="4" t="s">
        <v>476</v>
      </c>
      <c r="B444" s="5" t="s">
        <v>455</v>
      </c>
      <c r="C444" s="5" t="s">
        <v>44</v>
      </c>
      <c r="D444" s="5" t="s">
        <v>14</v>
      </c>
      <c r="E444" s="6" t="n">
        <v>6959</v>
      </c>
      <c r="F444" s="6"/>
      <c r="G444" s="7"/>
      <c r="H444" s="8"/>
      <c r="I444" s="8"/>
      <c r="J444" s="7"/>
    </row>
    <row r="445" customFormat="false" ht="15" hidden="false" customHeight="true" outlineLevel="0" collapsed="false">
      <c r="A445" s="4" t="s">
        <v>477</v>
      </c>
      <c r="B445" s="5" t="s">
        <v>455</v>
      </c>
      <c r="C445" s="5" t="s">
        <v>44</v>
      </c>
      <c r="D445" s="5" t="s">
        <v>16</v>
      </c>
      <c r="E445" s="6" t="n">
        <v>3384</v>
      </c>
      <c r="F445" s="6" t="n">
        <v>6959</v>
      </c>
      <c r="G445" s="7" t="n">
        <v>0.48627676390286</v>
      </c>
      <c r="H445" s="8"/>
      <c r="I445" s="8"/>
      <c r="J445" s="7" t="n">
        <v>0.51372323609714</v>
      </c>
    </row>
    <row r="446" customFormat="false" ht="15" hidden="false" customHeight="true" outlineLevel="0" collapsed="false">
      <c r="A446" s="4" t="s">
        <v>478</v>
      </c>
      <c r="B446" s="5" t="s">
        <v>455</v>
      </c>
      <c r="C446" s="5" t="s">
        <v>44</v>
      </c>
      <c r="D446" s="5" t="s">
        <v>18</v>
      </c>
      <c r="E446" s="6" t="n">
        <v>1085</v>
      </c>
      <c r="F446" s="6" t="n">
        <v>3384</v>
      </c>
      <c r="G446" s="7" t="n">
        <v>0.320626477541371</v>
      </c>
      <c r="H446" s="8"/>
      <c r="I446" s="8"/>
      <c r="J446" s="7" t="n">
        <v>0.679373522458629</v>
      </c>
    </row>
    <row r="447" customFormat="false" ht="15" hidden="false" customHeight="true" outlineLevel="0" collapsed="false">
      <c r="A447" s="4" t="s">
        <v>479</v>
      </c>
      <c r="B447" s="5" t="s">
        <v>455</v>
      </c>
      <c r="C447" s="5" t="s">
        <v>44</v>
      </c>
      <c r="D447" s="5" t="s">
        <v>20</v>
      </c>
      <c r="E447" s="6" t="n">
        <v>749</v>
      </c>
      <c r="F447" s="6" t="n">
        <v>1085</v>
      </c>
      <c r="G447" s="7" t="n">
        <v>0.690322580645161</v>
      </c>
      <c r="H447" s="8"/>
      <c r="I447" s="8"/>
      <c r="J447" s="7" t="n">
        <v>0.309677419354839</v>
      </c>
    </row>
    <row r="448" customFormat="false" ht="15" hidden="false" customHeight="true" outlineLevel="0" collapsed="false">
      <c r="A448" s="4" t="s">
        <v>480</v>
      </c>
      <c r="B448" s="5" t="s">
        <v>455</v>
      </c>
      <c r="C448" s="5" t="s">
        <v>44</v>
      </c>
      <c r="D448" s="5" t="s">
        <v>22</v>
      </c>
      <c r="E448" s="6" t="n">
        <v>304</v>
      </c>
      <c r="F448" s="6" t="n">
        <v>749</v>
      </c>
      <c r="G448" s="7" t="n">
        <v>0.405874499332443</v>
      </c>
      <c r="H448" s="8"/>
      <c r="I448" s="8"/>
      <c r="J448" s="7" t="n">
        <v>0.594125500667557</v>
      </c>
    </row>
    <row r="449" customFormat="false" ht="15" hidden="false" customHeight="true" outlineLevel="0" collapsed="false">
      <c r="A449" s="4" t="s">
        <v>481</v>
      </c>
      <c r="B449" s="5" t="s">
        <v>455</v>
      </c>
      <c r="C449" s="5" t="s">
        <v>44</v>
      </c>
      <c r="D449" s="5" t="s">
        <v>24</v>
      </c>
      <c r="E449" s="6" t="n">
        <v>185</v>
      </c>
      <c r="F449" s="6" t="n">
        <v>304</v>
      </c>
      <c r="G449" s="7" t="n">
        <v>0.608552631578947</v>
      </c>
      <c r="H449" s="8"/>
      <c r="I449" s="8"/>
      <c r="J449" s="7" t="n">
        <v>0.391447368421053</v>
      </c>
    </row>
    <row r="450" customFormat="false" ht="15" hidden="false" customHeight="true" outlineLevel="0" collapsed="false">
      <c r="A450" s="4" t="s">
        <v>482</v>
      </c>
      <c r="B450" s="5" t="s">
        <v>455</v>
      </c>
      <c r="C450" s="5" t="s">
        <v>44</v>
      </c>
      <c r="D450" s="5" t="s">
        <v>26</v>
      </c>
      <c r="E450" s="6" t="n">
        <v>134</v>
      </c>
      <c r="F450" s="6" t="n">
        <v>185</v>
      </c>
      <c r="G450" s="7" t="n">
        <v>0.724324324324324</v>
      </c>
      <c r="H450" s="8" t="n">
        <v>155976</v>
      </c>
      <c r="I450" s="8" t="n">
        <v>1164</v>
      </c>
      <c r="J450" s="7" t="n">
        <v>0.275675675675676</v>
      </c>
    </row>
    <row r="451" customFormat="false" ht="15" hidden="false" customHeight="true" outlineLevel="0" collapsed="false">
      <c r="A451" s="4" t="s">
        <v>483</v>
      </c>
      <c r="B451" s="5" t="s">
        <v>455</v>
      </c>
      <c r="C451" s="5" t="s">
        <v>52</v>
      </c>
      <c r="D451" s="5" t="s">
        <v>14</v>
      </c>
      <c r="E451" s="6" t="n">
        <v>13099</v>
      </c>
      <c r="F451" s="6"/>
      <c r="G451" s="7"/>
      <c r="H451" s="8"/>
      <c r="I451" s="8"/>
      <c r="J451" s="7"/>
    </row>
    <row r="452" customFormat="false" ht="15" hidden="false" customHeight="true" outlineLevel="0" collapsed="false">
      <c r="A452" s="4" t="s">
        <v>484</v>
      </c>
      <c r="B452" s="5" t="s">
        <v>455</v>
      </c>
      <c r="C452" s="5" t="s">
        <v>52</v>
      </c>
      <c r="D452" s="5" t="s">
        <v>16</v>
      </c>
      <c r="E452" s="6" t="n">
        <v>6178</v>
      </c>
      <c r="F452" s="6" t="n">
        <v>13099</v>
      </c>
      <c r="G452" s="7" t="n">
        <v>0.47163905641652</v>
      </c>
      <c r="H452" s="8"/>
      <c r="I452" s="8"/>
      <c r="J452" s="7" t="n">
        <v>0.52836094358348</v>
      </c>
    </row>
    <row r="453" customFormat="false" ht="15" hidden="false" customHeight="true" outlineLevel="0" collapsed="false">
      <c r="A453" s="4" t="s">
        <v>485</v>
      </c>
      <c r="B453" s="5" t="s">
        <v>455</v>
      </c>
      <c r="C453" s="5" t="s">
        <v>52</v>
      </c>
      <c r="D453" s="5" t="s">
        <v>18</v>
      </c>
      <c r="E453" s="6" t="n">
        <v>2041</v>
      </c>
      <c r="F453" s="6" t="n">
        <v>6178</v>
      </c>
      <c r="G453" s="7" t="n">
        <v>0.330365814179346</v>
      </c>
      <c r="H453" s="8"/>
      <c r="I453" s="8"/>
      <c r="J453" s="7" t="n">
        <v>0.669634185820654</v>
      </c>
    </row>
    <row r="454" customFormat="false" ht="15" hidden="false" customHeight="true" outlineLevel="0" collapsed="false">
      <c r="A454" s="4" t="s">
        <v>486</v>
      </c>
      <c r="B454" s="5" t="s">
        <v>455</v>
      </c>
      <c r="C454" s="5" t="s">
        <v>52</v>
      </c>
      <c r="D454" s="5" t="s">
        <v>20</v>
      </c>
      <c r="E454" s="6" t="n">
        <v>1246</v>
      </c>
      <c r="F454" s="6" t="n">
        <v>2041</v>
      </c>
      <c r="G454" s="7" t="n">
        <v>0.610485056344929</v>
      </c>
      <c r="H454" s="8"/>
      <c r="I454" s="8"/>
      <c r="J454" s="7" t="n">
        <v>0.389514943655071</v>
      </c>
    </row>
    <row r="455" customFormat="false" ht="15" hidden="false" customHeight="true" outlineLevel="0" collapsed="false">
      <c r="A455" s="4" t="s">
        <v>487</v>
      </c>
      <c r="B455" s="5" t="s">
        <v>455</v>
      </c>
      <c r="C455" s="5" t="s">
        <v>52</v>
      </c>
      <c r="D455" s="5" t="s">
        <v>22</v>
      </c>
      <c r="E455" s="6" t="n">
        <v>532</v>
      </c>
      <c r="F455" s="6" t="n">
        <v>1246</v>
      </c>
      <c r="G455" s="7" t="n">
        <v>0.426966292134831</v>
      </c>
      <c r="H455" s="8"/>
      <c r="I455" s="8"/>
      <c r="J455" s="7" t="n">
        <v>0.573033707865169</v>
      </c>
    </row>
    <row r="456" customFormat="false" ht="15" hidden="false" customHeight="true" outlineLevel="0" collapsed="false">
      <c r="A456" s="4" t="s">
        <v>488</v>
      </c>
      <c r="B456" s="5" t="s">
        <v>455</v>
      </c>
      <c r="C456" s="5" t="s">
        <v>52</v>
      </c>
      <c r="D456" s="5" t="s">
        <v>24</v>
      </c>
      <c r="E456" s="6" t="n">
        <v>275</v>
      </c>
      <c r="F456" s="6" t="n">
        <v>532</v>
      </c>
      <c r="G456" s="7" t="n">
        <v>0.516917293233083</v>
      </c>
      <c r="H456" s="8"/>
      <c r="I456" s="8"/>
      <c r="J456" s="7" t="n">
        <v>0.483082706766917</v>
      </c>
    </row>
    <row r="457" customFormat="false" ht="15" hidden="false" customHeight="true" outlineLevel="0" collapsed="false">
      <c r="A457" s="4" t="s">
        <v>489</v>
      </c>
      <c r="B457" s="5" t="s">
        <v>455</v>
      </c>
      <c r="C457" s="5" t="s">
        <v>52</v>
      </c>
      <c r="D457" s="5" t="s">
        <v>26</v>
      </c>
      <c r="E457" s="6" t="n">
        <v>201</v>
      </c>
      <c r="F457" s="6" t="n">
        <v>275</v>
      </c>
      <c r="G457" s="7" t="n">
        <v>0.730909090909091</v>
      </c>
      <c r="H457" s="8" t="n">
        <v>366624</v>
      </c>
      <c r="I457" s="8" t="n">
        <v>1824</v>
      </c>
      <c r="J457" s="7" t="n">
        <v>0.269090909090909</v>
      </c>
    </row>
    <row r="458" customFormat="false" ht="15" hidden="false" customHeight="true" outlineLevel="0" collapsed="false">
      <c r="A458" s="4" t="s">
        <v>490</v>
      </c>
      <c r="B458" s="5" t="s">
        <v>455</v>
      </c>
      <c r="C458" s="5" t="s">
        <v>60</v>
      </c>
      <c r="D458" s="5" t="s">
        <v>14</v>
      </c>
      <c r="E458" s="6" t="n">
        <v>10856</v>
      </c>
      <c r="F458" s="6"/>
      <c r="G458" s="7"/>
      <c r="H458" s="8"/>
      <c r="I458" s="8"/>
      <c r="J458" s="7"/>
    </row>
    <row r="459" customFormat="false" ht="15" hidden="false" customHeight="true" outlineLevel="0" collapsed="false">
      <c r="A459" s="4" t="s">
        <v>491</v>
      </c>
      <c r="B459" s="5" t="s">
        <v>455</v>
      </c>
      <c r="C459" s="5" t="s">
        <v>60</v>
      </c>
      <c r="D459" s="5" t="s">
        <v>16</v>
      </c>
      <c r="E459" s="6" t="n">
        <v>5701</v>
      </c>
      <c r="F459" s="6" t="n">
        <v>10856</v>
      </c>
      <c r="G459" s="7" t="n">
        <v>0.525147383935151</v>
      </c>
      <c r="H459" s="8"/>
      <c r="I459" s="8"/>
      <c r="J459" s="7" t="n">
        <v>0.474852616064849</v>
      </c>
    </row>
    <row r="460" customFormat="false" ht="15" hidden="false" customHeight="true" outlineLevel="0" collapsed="false">
      <c r="A460" s="4" t="s">
        <v>492</v>
      </c>
      <c r="B460" s="5" t="s">
        <v>455</v>
      </c>
      <c r="C460" s="5" t="s">
        <v>60</v>
      </c>
      <c r="D460" s="5" t="s">
        <v>18</v>
      </c>
      <c r="E460" s="6" t="n">
        <v>1632</v>
      </c>
      <c r="F460" s="6" t="n">
        <v>5701</v>
      </c>
      <c r="G460" s="7" t="n">
        <v>0.286265567444308</v>
      </c>
      <c r="H460" s="8"/>
      <c r="I460" s="8"/>
      <c r="J460" s="7" t="n">
        <v>0.713734432555692</v>
      </c>
    </row>
    <row r="461" customFormat="false" ht="15" hidden="false" customHeight="true" outlineLevel="0" collapsed="false">
      <c r="A461" s="4" t="s">
        <v>493</v>
      </c>
      <c r="B461" s="5" t="s">
        <v>455</v>
      </c>
      <c r="C461" s="5" t="s">
        <v>60</v>
      </c>
      <c r="D461" s="5" t="s">
        <v>20</v>
      </c>
      <c r="E461" s="6" t="n">
        <v>915</v>
      </c>
      <c r="F461" s="6" t="n">
        <v>1632</v>
      </c>
      <c r="G461" s="7" t="n">
        <v>0.560661764705882</v>
      </c>
      <c r="H461" s="8"/>
      <c r="I461" s="8"/>
      <c r="J461" s="7" t="n">
        <v>0.439338235294118</v>
      </c>
    </row>
    <row r="462" customFormat="false" ht="15" hidden="false" customHeight="true" outlineLevel="0" collapsed="false">
      <c r="A462" s="4" t="s">
        <v>494</v>
      </c>
      <c r="B462" s="5" t="s">
        <v>455</v>
      </c>
      <c r="C462" s="5" t="s">
        <v>60</v>
      </c>
      <c r="D462" s="5" t="s">
        <v>22</v>
      </c>
      <c r="E462" s="6" t="n">
        <v>390</v>
      </c>
      <c r="F462" s="6" t="n">
        <v>915</v>
      </c>
      <c r="G462" s="7" t="n">
        <v>0.426229508196721</v>
      </c>
      <c r="H462" s="8"/>
      <c r="I462" s="8"/>
      <c r="J462" s="7" t="n">
        <v>0.573770491803279</v>
      </c>
    </row>
    <row r="463" customFormat="false" ht="15" hidden="false" customHeight="true" outlineLevel="0" collapsed="false">
      <c r="A463" s="4" t="s">
        <v>495</v>
      </c>
      <c r="B463" s="5" t="s">
        <v>455</v>
      </c>
      <c r="C463" s="5" t="s">
        <v>60</v>
      </c>
      <c r="D463" s="5" t="s">
        <v>24</v>
      </c>
      <c r="E463" s="6" t="n">
        <v>262</v>
      </c>
      <c r="F463" s="6" t="n">
        <v>390</v>
      </c>
      <c r="G463" s="7" t="n">
        <v>0.671794871794872</v>
      </c>
      <c r="H463" s="8"/>
      <c r="I463" s="8"/>
      <c r="J463" s="7" t="n">
        <v>0.328205128205128</v>
      </c>
    </row>
    <row r="464" customFormat="false" ht="15" hidden="false" customHeight="true" outlineLevel="0" collapsed="false">
      <c r="A464" s="4" t="s">
        <v>496</v>
      </c>
      <c r="B464" s="5" t="s">
        <v>455</v>
      </c>
      <c r="C464" s="5" t="s">
        <v>60</v>
      </c>
      <c r="D464" s="5" t="s">
        <v>26</v>
      </c>
      <c r="E464" s="6" t="n">
        <v>207</v>
      </c>
      <c r="F464" s="6" t="n">
        <v>262</v>
      </c>
      <c r="G464" s="7" t="n">
        <v>0.790076335877863</v>
      </c>
      <c r="H464" s="8" t="n">
        <v>361836</v>
      </c>
      <c r="I464" s="8" t="n">
        <v>1748</v>
      </c>
      <c r="J464" s="7" t="n">
        <v>0.209923664122137</v>
      </c>
    </row>
    <row r="465" customFormat="false" ht="15" hidden="false" customHeight="true" outlineLevel="0" collapsed="false">
      <c r="A465" s="4" t="s">
        <v>497</v>
      </c>
      <c r="B465" s="5" t="s">
        <v>498</v>
      </c>
      <c r="C465" s="5" t="s">
        <v>13</v>
      </c>
      <c r="D465" s="5" t="s">
        <v>14</v>
      </c>
      <c r="E465" s="6" t="n">
        <v>6419</v>
      </c>
      <c r="F465" s="6"/>
      <c r="G465" s="7"/>
      <c r="H465" s="8"/>
      <c r="I465" s="8"/>
      <c r="J465" s="7"/>
    </row>
    <row r="466" customFormat="false" ht="15" hidden="false" customHeight="true" outlineLevel="0" collapsed="false">
      <c r="A466" s="4" t="s">
        <v>499</v>
      </c>
      <c r="B466" s="5" t="s">
        <v>498</v>
      </c>
      <c r="C466" s="5" t="s">
        <v>13</v>
      </c>
      <c r="D466" s="5" t="s">
        <v>16</v>
      </c>
      <c r="E466" s="6" t="n">
        <v>3666</v>
      </c>
      <c r="F466" s="6" t="n">
        <v>6419</v>
      </c>
      <c r="G466" s="7" t="n">
        <v>0.571116996416887</v>
      </c>
      <c r="H466" s="8"/>
      <c r="I466" s="8"/>
      <c r="J466" s="7" t="n">
        <v>0.428883003583113</v>
      </c>
    </row>
    <row r="467" customFormat="false" ht="15" hidden="false" customHeight="true" outlineLevel="0" collapsed="false">
      <c r="A467" s="4" t="s">
        <v>500</v>
      </c>
      <c r="B467" s="5" t="s">
        <v>498</v>
      </c>
      <c r="C467" s="5" t="s">
        <v>13</v>
      </c>
      <c r="D467" s="5" t="s">
        <v>18</v>
      </c>
      <c r="E467" s="6" t="n">
        <v>1134</v>
      </c>
      <c r="F467" s="6" t="n">
        <v>3666</v>
      </c>
      <c r="G467" s="7" t="n">
        <v>0.309328968903437</v>
      </c>
      <c r="H467" s="8"/>
      <c r="I467" s="8"/>
      <c r="J467" s="7" t="n">
        <v>0.690671031096563</v>
      </c>
    </row>
    <row r="468" customFormat="false" ht="15" hidden="false" customHeight="true" outlineLevel="0" collapsed="false">
      <c r="A468" s="4" t="s">
        <v>501</v>
      </c>
      <c r="B468" s="5" t="s">
        <v>498</v>
      </c>
      <c r="C468" s="5" t="s">
        <v>13</v>
      </c>
      <c r="D468" s="5" t="s">
        <v>20</v>
      </c>
      <c r="E468" s="6" t="n">
        <v>785</v>
      </c>
      <c r="F468" s="6" t="n">
        <v>1134</v>
      </c>
      <c r="G468" s="7" t="n">
        <v>0.692239858906526</v>
      </c>
      <c r="H468" s="8"/>
      <c r="I468" s="8"/>
      <c r="J468" s="7" t="n">
        <v>0.307760141093474</v>
      </c>
    </row>
    <row r="469" customFormat="false" ht="15" hidden="false" customHeight="true" outlineLevel="0" collapsed="false">
      <c r="A469" s="4" t="s">
        <v>502</v>
      </c>
      <c r="B469" s="5" t="s">
        <v>498</v>
      </c>
      <c r="C469" s="5" t="s">
        <v>13</v>
      </c>
      <c r="D469" s="5" t="s">
        <v>22</v>
      </c>
      <c r="E469" s="6" t="n">
        <v>402</v>
      </c>
      <c r="F469" s="6" t="n">
        <v>785</v>
      </c>
      <c r="G469" s="7" t="n">
        <v>0.512101910828026</v>
      </c>
      <c r="H469" s="8"/>
      <c r="I469" s="8"/>
      <c r="J469" s="7" t="n">
        <v>0.487898089171975</v>
      </c>
    </row>
    <row r="470" customFormat="false" ht="15" hidden="false" customHeight="true" outlineLevel="0" collapsed="false">
      <c r="A470" s="4" t="s">
        <v>503</v>
      </c>
      <c r="B470" s="5" t="s">
        <v>498</v>
      </c>
      <c r="C470" s="5" t="s">
        <v>13</v>
      </c>
      <c r="D470" s="5" t="s">
        <v>24</v>
      </c>
      <c r="E470" s="6" t="n">
        <v>248</v>
      </c>
      <c r="F470" s="6" t="n">
        <v>402</v>
      </c>
      <c r="G470" s="7" t="n">
        <v>0.616915422885572</v>
      </c>
      <c r="H470" s="8"/>
      <c r="I470" s="8"/>
      <c r="J470" s="7" t="n">
        <v>0.383084577114428</v>
      </c>
    </row>
    <row r="471" customFormat="false" ht="15" hidden="false" customHeight="true" outlineLevel="0" collapsed="false">
      <c r="A471" s="4" t="s">
        <v>504</v>
      </c>
      <c r="B471" s="5" t="s">
        <v>498</v>
      </c>
      <c r="C471" s="5" t="s">
        <v>13</v>
      </c>
      <c r="D471" s="5" t="s">
        <v>26</v>
      </c>
      <c r="E471" s="6" t="n">
        <v>176</v>
      </c>
      <c r="F471" s="6" t="n">
        <v>248</v>
      </c>
      <c r="G471" s="7" t="n">
        <v>0.709677419354839</v>
      </c>
      <c r="H471" s="8" t="n">
        <v>665808</v>
      </c>
      <c r="I471" s="8" t="n">
        <v>3783</v>
      </c>
      <c r="J471" s="7" t="n">
        <v>0.290322580645161</v>
      </c>
    </row>
    <row r="472" customFormat="false" ht="15" hidden="false" customHeight="true" outlineLevel="0" collapsed="false">
      <c r="A472" s="4" t="s">
        <v>505</v>
      </c>
      <c r="B472" s="5" t="s">
        <v>498</v>
      </c>
      <c r="C472" s="5" t="s">
        <v>28</v>
      </c>
      <c r="D472" s="5" t="s">
        <v>14</v>
      </c>
      <c r="E472" s="6" t="n">
        <v>11485</v>
      </c>
      <c r="F472" s="6"/>
      <c r="G472" s="7"/>
      <c r="H472" s="8"/>
      <c r="I472" s="8"/>
      <c r="J472" s="7"/>
    </row>
    <row r="473" customFormat="false" ht="15" hidden="false" customHeight="true" outlineLevel="0" collapsed="false">
      <c r="A473" s="4" t="s">
        <v>506</v>
      </c>
      <c r="B473" s="5" t="s">
        <v>498</v>
      </c>
      <c r="C473" s="5" t="s">
        <v>28</v>
      </c>
      <c r="D473" s="5" t="s">
        <v>16</v>
      </c>
      <c r="E473" s="6" t="n">
        <v>6380</v>
      </c>
      <c r="F473" s="6" t="n">
        <v>11485</v>
      </c>
      <c r="G473" s="7" t="n">
        <v>0.555507183282542</v>
      </c>
      <c r="H473" s="8"/>
      <c r="I473" s="8"/>
      <c r="J473" s="7" t="n">
        <v>0.444492816717458</v>
      </c>
    </row>
    <row r="474" customFormat="false" ht="15" hidden="false" customHeight="true" outlineLevel="0" collapsed="false">
      <c r="A474" s="4" t="s">
        <v>507</v>
      </c>
      <c r="B474" s="5" t="s">
        <v>498</v>
      </c>
      <c r="C474" s="5" t="s">
        <v>28</v>
      </c>
      <c r="D474" s="5" t="s">
        <v>18</v>
      </c>
      <c r="E474" s="6" t="n">
        <v>1638</v>
      </c>
      <c r="F474" s="6" t="n">
        <v>6380</v>
      </c>
      <c r="G474" s="7" t="n">
        <v>0.256739811912226</v>
      </c>
      <c r="H474" s="8"/>
      <c r="I474" s="8"/>
      <c r="J474" s="7" t="n">
        <v>0.743260188087774</v>
      </c>
    </row>
    <row r="475" customFormat="false" ht="15" hidden="false" customHeight="true" outlineLevel="0" collapsed="false">
      <c r="A475" s="4" t="s">
        <v>508</v>
      </c>
      <c r="B475" s="5" t="s">
        <v>498</v>
      </c>
      <c r="C475" s="5" t="s">
        <v>28</v>
      </c>
      <c r="D475" s="5" t="s">
        <v>20</v>
      </c>
      <c r="E475" s="6" t="n">
        <v>1098</v>
      </c>
      <c r="F475" s="6" t="n">
        <v>1638</v>
      </c>
      <c r="G475" s="7" t="n">
        <v>0.67032967032967</v>
      </c>
      <c r="H475" s="8"/>
      <c r="I475" s="8"/>
      <c r="J475" s="7" t="n">
        <v>0.32967032967033</v>
      </c>
    </row>
    <row r="476" customFormat="false" ht="15" hidden="false" customHeight="true" outlineLevel="0" collapsed="false">
      <c r="A476" s="4" t="s">
        <v>509</v>
      </c>
      <c r="B476" s="5" t="s">
        <v>498</v>
      </c>
      <c r="C476" s="5" t="s">
        <v>28</v>
      </c>
      <c r="D476" s="5" t="s">
        <v>22</v>
      </c>
      <c r="E476" s="6" t="n">
        <v>470</v>
      </c>
      <c r="F476" s="6" t="n">
        <v>1098</v>
      </c>
      <c r="G476" s="7" t="n">
        <v>0.428051001821494</v>
      </c>
      <c r="H476" s="8"/>
      <c r="I476" s="8"/>
      <c r="J476" s="7" t="n">
        <v>0.571948998178506</v>
      </c>
    </row>
    <row r="477" customFormat="false" ht="15" hidden="false" customHeight="true" outlineLevel="0" collapsed="false">
      <c r="A477" s="4" t="s">
        <v>510</v>
      </c>
      <c r="B477" s="5" t="s">
        <v>498</v>
      </c>
      <c r="C477" s="5" t="s">
        <v>28</v>
      </c>
      <c r="D477" s="5" t="s">
        <v>24</v>
      </c>
      <c r="E477" s="6" t="n">
        <v>250</v>
      </c>
      <c r="F477" s="6" t="n">
        <v>470</v>
      </c>
      <c r="G477" s="7" t="n">
        <v>0.531914893617021</v>
      </c>
      <c r="H477" s="8"/>
      <c r="I477" s="8"/>
      <c r="J477" s="7" t="n">
        <v>0.468085106382979</v>
      </c>
    </row>
    <row r="478" customFormat="false" ht="15" hidden="false" customHeight="true" outlineLevel="0" collapsed="false">
      <c r="A478" s="4" t="s">
        <v>511</v>
      </c>
      <c r="B478" s="5" t="s">
        <v>498</v>
      </c>
      <c r="C478" s="5" t="s">
        <v>28</v>
      </c>
      <c r="D478" s="5" t="s">
        <v>26</v>
      </c>
      <c r="E478" s="6" t="n">
        <v>151</v>
      </c>
      <c r="F478" s="6" t="n">
        <v>250</v>
      </c>
      <c r="G478" s="7" t="n">
        <v>0.604</v>
      </c>
      <c r="H478" s="8" t="n">
        <v>450886</v>
      </c>
      <c r="I478" s="8" t="n">
        <v>2986</v>
      </c>
      <c r="J478" s="7" t="n">
        <v>0.396</v>
      </c>
    </row>
    <row r="479" customFormat="false" ht="15" hidden="false" customHeight="true" outlineLevel="0" collapsed="false">
      <c r="A479" s="4" t="s">
        <v>512</v>
      </c>
      <c r="B479" s="5" t="s">
        <v>498</v>
      </c>
      <c r="C479" s="5" t="s">
        <v>36</v>
      </c>
      <c r="D479" s="5" t="s">
        <v>14</v>
      </c>
      <c r="E479" s="6" t="n">
        <v>8235</v>
      </c>
      <c r="F479" s="6"/>
      <c r="G479" s="7"/>
      <c r="H479" s="8"/>
      <c r="I479" s="8"/>
      <c r="J479" s="7"/>
    </row>
    <row r="480" customFormat="false" ht="15" hidden="false" customHeight="true" outlineLevel="0" collapsed="false">
      <c r="A480" s="4" t="s">
        <v>513</v>
      </c>
      <c r="B480" s="5" t="s">
        <v>498</v>
      </c>
      <c r="C480" s="5" t="s">
        <v>36</v>
      </c>
      <c r="D480" s="5" t="s">
        <v>16</v>
      </c>
      <c r="E480" s="6" t="n">
        <v>4608</v>
      </c>
      <c r="F480" s="6" t="n">
        <v>8235</v>
      </c>
      <c r="G480" s="7" t="n">
        <v>0.559562841530055</v>
      </c>
      <c r="H480" s="8"/>
      <c r="I480" s="8"/>
      <c r="J480" s="7" t="n">
        <v>0.440437158469945</v>
      </c>
    </row>
    <row r="481" customFormat="false" ht="15" hidden="false" customHeight="true" outlineLevel="0" collapsed="false">
      <c r="A481" s="4" t="s">
        <v>514</v>
      </c>
      <c r="B481" s="5" t="s">
        <v>498</v>
      </c>
      <c r="C481" s="5" t="s">
        <v>36</v>
      </c>
      <c r="D481" s="5" t="s">
        <v>18</v>
      </c>
      <c r="E481" s="6" t="n">
        <v>1520</v>
      </c>
      <c r="F481" s="6" t="n">
        <v>4608</v>
      </c>
      <c r="G481" s="7" t="n">
        <v>0.329861111111111</v>
      </c>
      <c r="H481" s="8"/>
      <c r="I481" s="8"/>
      <c r="J481" s="7" t="n">
        <v>0.670138888888889</v>
      </c>
    </row>
    <row r="482" customFormat="false" ht="15" hidden="false" customHeight="true" outlineLevel="0" collapsed="false">
      <c r="A482" s="4" t="s">
        <v>515</v>
      </c>
      <c r="B482" s="5" t="s">
        <v>498</v>
      </c>
      <c r="C482" s="5" t="s">
        <v>36</v>
      </c>
      <c r="D482" s="5" t="s">
        <v>20</v>
      </c>
      <c r="E482" s="6" t="n">
        <v>891</v>
      </c>
      <c r="F482" s="6" t="n">
        <v>1520</v>
      </c>
      <c r="G482" s="7" t="n">
        <v>0.586184210526316</v>
      </c>
      <c r="H482" s="8"/>
      <c r="I482" s="8"/>
      <c r="J482" s="7" t="n">
        <v>0.413815789473684</v>
      </c>
    </row>
    <row r="483" customFormat="false" ht="15" hidden="false" customHeight="true" outlineLevel="0" collapsed="false">
      <c r="A483" s="4" t="s">
        <v>516</v>
      </c>
      <c r="B483" s="5" t="s">
        <v>498</v>
      </c>
      <c r="C483" s="5" t="s">
        <v>36</v>
      </c>
      <c r="D483" s="5" t="s">
        <v>22</v>
      </c>
      <c r="E483" s="6" t="n">
        <v>380</v>
      </c>
      <c r="F483" s="6" t="n">
        <v>891</v>
      </c>
      <c r="G483" s="7" t="n">
        <v>0.42648709315376</v>
      </c>
      <c r="H483" s="8"/>
      <c r="I483" s="8"/>
      <c r="J483" s="7" t="n">
        <v>0.57351290684624</v>
      </c>
    </row>
    <row r="484" customFormat="false" ht="15" hidden="false" customHeight="true" outlineLevel="0" collapsed="false">
      <c r="A484" s="4" t="s">
        <v>517</v>
      </c>
      <c r="B484" s="5" t="s">
        <v>498</v>
      </c>
      <c r="C484" s="5" t="s">
        <v>36</v>
      </c>
      <c r="D484" s="5" t="s">
        <v>24</v>
      </c>
      <c r="E484" s="6" t="n">
        <v>259</v>
      </c>
      <c r="F484" s="6" t="n">
        <v>380</v>
      </c>
      <c r="G484" s="7" t="n">
        <v>0.681578947368421</v>
      </c>
      <c r="H484" s="8"/>
      <c r="I484" s="8"/>
      <c r="J484" s="7" t="n">
        <v>0.318421052631579</v>
      </c>
    </row>
    <row r="485" customFormat="false" ht="15" hidden="false" customHeight="true" outlineLevel="0" collapsed="false">
      <c r="A485" s="4" t="s">
        <v>518</v>
      </c>
      <c r="B485" s="5" t="s">
        <v>498</v>
      </c>
      <c r="C485" s="5" t="s">
        <v>36</v>
      </c>
      <c r="D485" s="5" t="s">
        <v>26</v>
      </c>
      <c r="E485" s="6" t="n">
        <v>191</v>
      </c>
      <c r="F485" s="6" t="n">
        <v>259</v>
      </c>
      <c r="G485" s="7" t="n">
        <v>0.737451737451737</v>
      </c>
      <c r="H485" s="8" t="n">
        <v>721216</v>
      </c>
      <c r="I485" s="8" t="n">
        <v>3776</v>
      </c>
      <c r="J485" s="7" t="n">
        <v>0.262548262548263</v>
      </c>
    </row>
    <row r="486" customFormat="false" ht="15" hidden="false" customHeight="true" outlineLevel="0" collapsed="false">
      <c r="A486" s="4" t="s">
        <v>519</v>
      </c>
      <c r="B486" s="5" t="s">
        <v>498</v>
      </c>
      <c r="C486" s="5" t="s">
        <v>44</v>
      </c>
      <c r="D486" s="5" t="s">
        <v>14</v>
      </c>
      <c r="E486" s="6" t="n">
        <v>11998</v>
      </c>
      <c r="F486" s="6"/>
      <c r="G486" s="7"/>
      <c r="H486" s="8"/>
      <c r="I486" s="8"/>
      <c r="J486" s="7"/>
    </row>
    <row r="487" customFormat="false" ht="15" hidden="false" customHeight="true" outlineLevel="0" collapsed="false">
      <c r="A487" s="4" t="s">
        <v>520</v>
      </c>
      <c r="B487" s="5" t="s">
        <v>498</v>
      </c>
      <c r="C487" s="5" t="s">
        <v>44</v>
      </c>
      <c r="D487" s="5" t="s">
        <v>16</v>
      </c>
      <c r="E487" s="6" t="n">
        <v>6931</v>
      </c>
      <c r="F487" s="6" t="n">
        <v>11998</v>
      </c>
      <c r="G487" s="7" t="n">
        <v>0.577679613268878</v>
      </c>
      <c r="H487" s="8"/>
      <c r="I487" s="8"/>
      <c r="J487" s="7" t="n">
        <v>0.422320386731122</v>
      </c>
    </row>
    <row r="488" customFormat="false" ht="15" hidden="false" customHeight="true" outlineLevel="0" collapsed="false">
      <c r="A488" s="4" t="s">
        <v>521</v>
      </c>
      <c r="B488" s="5" t="s">
        <v>498</v>
      </c>
      <c r="C488" s="5" t="s">
        <v>44</v>
      </c>
      <c r="D488" s="5" t="s">
        <v>18</v>
      </c>
      <c r="E488" s="6" t="n">
        <v>1981</v>
      </c>
      <c r="F488" s="6" t="n">
        <v>6931</v>
      </c>
      <c r="G488" s="7" t="n">
        <v>0.285817342374838</v>
      </c>
      <c r="H488" s="8"/>
      <c r="I488" s="8"/>
      <c r="J488" s="7" t="n">
        <v>0.714182657625162</v>
      </c>
    </row>
    <row r="489" customFormat="false" ht="15" hidden="false" customHeight="true" outlineLevel="0" collapsed="false">
      <c r="A489" s="4" t="s">
        <v>522</v>
      </c>
      <c r="B489" s="5" t="s">
        <v>498</v>
      </c>
      <c r="C489" s="5" t="s">
        <v>44</v>
      </c>
      <c r="D489" s="5" t="s">
        <v>20</v>
      </c>
      <c r="E489" s="6" t="n">
        <v>1171</v>
      </c>
      <c r="F489" s="6" t="n">
        <v>1981</v>
      </c>
      <c r="G489" s="7" t="n">
        <v>0.591115598182736</v>
      </c>
      <c r="H489" s="8"/>
      <c r="I489" s="8"/>
      <c r="J489" s="7" t="n">
        <v>0.408884401817264</v>
      </c>
    </row>
    <row r="490" customFormat="false" ht="15" hidden="false" customHeight="true" outlineLevel="0" collapsed="false">
      <c r="A490" s="4" t="s">
        <v>523</v>
      </c>
      <c r="B490" s="5" t="s">
        <v>498</v>
      </c>
      <c r="C490" s="5" t="s">
        <v>44</v>
      </c>
      <c r="D490" s="5" t="s">
        <v>22</v>
      </c>
      <c r="E490" s="6" t="n">
        <v>472</v>
      </c>
      <c r="F490" s="6" t="n">
        <v>1171</v>
      </c>
      <c r="G490" s="7" t="n">
        <v>0.403074295473954</v>
      </c>
      <c r="H490" s="8"/>
      <c r="I490" s="8"/>
      <c r="J490" s="7" t="n">
        <v>0.596925704526046</v>
      </c>
    </row>
    <row r="491" customFormat="false" ht="15" hidden="false" customHeight="true" outlineLevel="0" collapsed="false">
      <c r="A491" s="4" t="s">
        <v>524</v>
      </c>
      <c r="B491" s="5" t="s">
        <v>498</v>
      </c>
      <c r="C491" s="5" t="s">
        <v>44</v>
      </c>
      <c r="D491" s="5" t="s">
        <v>24</v>
      </c>
      <c r="E491" s="6" t="n">
        <v>255</v>
      </c>
      <c r="F491" s="6" t="n">
        <v>472</v>
      </c>
      <c r="G491" s="7" t="n">
        <v>0.540254237288136</v>
      </c>
      <c r="H491" s="8"/>
      <c r="I491" s="8"/>
      <c r="J491" s="7" t="n">
        <v>0.459745762711864</v>
      </c>
    </row>
    <row r="492" customFormat="false" ht="15" hidden="false" customHeight="true" outlineLevel="0" collapsed="false">
      <c r="A492" s="4" t="s">
        <v>525</v>
      </c>
      <c r="B492" s="5" t="s">
        <v>498</v>
      </c>
      <c r="C492" s="5" t="s">
        <v>44</v>
      </c>
      <c r="D492" s="5" t="s">
        <v>26</v>
      </c>
      <c r="E492" s="6" t="n">
        <v>156</v>
      </c>
      <c r="F492" s="6" t="n">
        <v>255</v>
      </c>
      <c r="G492" s="7" t="n">
        <v>0.611764705882353</v>
      </c>
      <c r="H492" s="8" t="n">
        <v>374556</v>
      </c>
      <c r="I492" s="8" t="n">
        <v>2401</v>
      </c>
      <c r="J492" s="7" t="n">
        <v>0.388235294117647</v>
      </c>
    </row>
    <row r="493" customFormat="false" ht="15" hidden="false" customHeight="true" outlineLevel="0" collapsed="false">
      <c r="A493" s="4" t="s">
        <v>526</v>
      </c>
      <c r="B493" s="5" t="s">
        <v>498</v>
      </c>
      <c r="C493" s="5" t="s">
        <v>52</v>
      </c>
      <c r="D493" s="5" t="s">
        <v>14</v>
      </c>
      <c r="E493" s="6" t="n">
        <v>10024</v>
      </c>
      <c r="F493" s="6"/>
      <c r="G493" s="7"/>
      <c r="H493" s="8"/>
      <c r="I493" s="8"/>
      <c r="J493" s="7"/>
    </row>
    <row r="494" customFormat="false" ht="15" hidden="false" customHeight="true" outlineLevel="0" collapsed="false">
      <c r="A494" s="4" t="s">
        <v>527</v>
      </c>
      <c r="B494" s="5" t="s">
        <v>498</v>
      </c>
      <c r="C494" s="5" t="s">
        <v>52</v>
      </c>
      <c r="D494" s="5" t="s">
        <v>16</v>
      </c>
      <c r="E494" s="6" t="n">
        <v>5587</v>
      </c>
      <c r="F494" s="6" t="n">
        <v>10024</v>
      </c>
      <c r="G494" s="7" t="n">
        <v>0.557362330407023</v>
      </c>
      <c r="H494" s="8"/>
      <c r="I494" s="8"/>
      <c r="J494" s="7" t="n">
        <v>0.442637669592977</v>
      </c>
    </row>
    <row r="495" customFormat="false" ht="15" hidden="false" customHeight="true" outlineLevel="0" collapsed="false">
      <c r="A495" s="4" t="s">
        <v>528</v>
      </c>
      <c r="B495" s="5" t="s">
        <v>498</v>
      </c>
      <c r="C495" s="5" t="s">
        <v>52</v>
      </c>
      <c r="D495" s="5" t="s">
        <v>18</v>
      </c>
      <c r="E495" s="6" t="n">
        <v>1612</v>
      </c>
      <c r="F495" s="6" t="n">
        <v>5587</v>
      </c>
      <c r="G495" s="7" t="n">
        <v>0.28852693753356</v>
      </c>
      <c r="H495" s="8"/>
      <c r="I495" s="8"/>
      <c r="J495" s="7" t="n">
        <v>0.71147306246644</v>
      </c>
    </row>
    <row r="496" customFormat="false" ht="15" hidden="false" customHeight="true" outlineLevel="0" collapsed="false">
      <c r="A496" s="4" t="s">
        <v>529</v>
      </c>
      <c r="B496" s="5" t="s">
        <v>498</v>
      </c>
      <c r="C496" s="5" t="s">
        <v>52</v>
      </c>
      <c r="D496" s="5" t="s">
        <v>20</v>
      </c>
      <c r="E496" s="6" t="n">
        <v>1092</v>
      </c>
      <c r="F496" s="6" t="n">
        <v>1612</v>
      </c>
      <c r="G496" s="7" t="n">
        <v>0.67741935483871</v>
      </c>
      <c r="H496" s="8"/>
      <c r="I496" s="8"/>
      <c r="J496" s="7" t="n">
        <v>0.32258064516129</v>
      </c>
    </row>
    <row r="497" customFormat="false" ht="15" hidden="false" customHeight="true" outlineLevel="0" collapsed="false">
      <c r="A497" s="4" t="s">
        <v>530</v>
      </c>
      <c r="B497" s="5" t="s">
        <v>498</v>
      </c>
      <c r="C497" s="5" t="s">
        <v>52</v>
      </c>
      <c r="D497" s="5" t="s">
        <v>22</v>
      </c>
      <c r="E497" s="6" t="n">
        <v>553</v>
      </c>
      <c r="F497" s="6" t="n">
        <v>1092</v>
      </c>
      <c r="G497" s="7" t="n">
        <v>0.506410256410256</v>
      </c>
      <c r="H497" s="8"/>
      <c r="I497" s="8"/>
      <c r="J497" s="7" t="n">
        <v>0.493589743589744</v>
      </c>
    </row>
    <row r="498" customFormat="false" ht="15" hidden="false" customHeight="true" outlineLevel="0" collapsed="false">
      <c r="A498" s="4" t="s">
        <v>531</v>
      </c>
      <c r="B498" s="5" t="s">
        <v>498</v>
      </c>
      <c r="C498" s="5" t="s">
        <v>52</v>
      </c>
      <c r="D498" s="5" t="s">
        <v>24</v>
      </c>
      <c r="E498" s="6" t="n">
        <v>307</v>
      </c>
      <c r="F498" s="6" t="n">
        <v>553</v>
      </c>
      <c r="G498" s="7" t="n">
        <v>0.555153707052441</v>
      </c>
      <c r="H498" s="8"/>
      <c r="I498" s="8"/>
      <c r="J498" s="7" t="n">
        <v>0.444846292947559</v>
      </c>
    </row>
    <row r="499" customFormat="false" ht="15" hidden="false" customHeight="true" outlineLevel="0" collapsed="false">
      <c r="A499" s="4" t="s">
        <v>532</v>
      </c>
      <c r="B499" s="5" t="s">
        <v>498</v>
      </c>
      <c r="C499" s="5" t="s">
        <v>52</v>
      </c>
      <c r="D499" s="5" t="s">
        <v>26</v>
      </c>
      <c r="E499" s="6" t="n">
        <v>241</v>
      </c>
      <c r="F499" s="6" t="n">
        <v>307</v>
      </c>
      <c r="G499" s="7" t="n">
        <v>0.785016286644951</v>
      </c>
      <c r="H499" s="8" t="n">
        <v>960867</v>
      </c>
      <c r="I499" s="8" t="n">
        <v>3987</v>
      </c>
      <c r="J499" s="7" t="n">
        <v>0.214983713355049</v>
      </c>
    </row>
    <row r="500" customFormat="false" ht="15" hidden="false" customHeight="true" outlineLevel="0" collapsed="false">
      <c r="A500" s="4" t="s">
        <v>533</v>
      </c>
      <c r="B500" s="5" t="s">
        <v>498</v>
      </c>
      <c r="C500" s="5" t="s">
        <v>60</v>
      </c>
      <c r="D500" s="5" t="s">
        <v>14</v>
      </c>
      <c r="E500" s="6" t="n">
        <v>8762</v>
      </c>
      <c r="F500" s="6"/>
      <c r="G500" s="7"/>
      <c r="H500" s="8"/>
      <c r="I500" s="8"/>
      <c r="J500" s="7"/>
    </row>
    <row r="501" customFormat="false" ht="15" hidden="false" customHeight="true" outlineLevel="0" collapsed="false">
      <c r="A501" s="4" t="s">
        <v>534</v>
      </c>
      <c r="B501" s="5" t="s">
        <v>498</v>
      </c>
      <c r="C501" s="5" t="s">
        <v>60</v>
      </c>
      <c r="D501" s="5" t="s">
        <v>16</v>
      </c>
      <c r="E501" s="6" t="n">
        <v>4474</v>
      </c>
      <c r="F501" s="6" t="n">
        <v>8762</v>
      </c>
      <c r="G501" s="7" t="n">
        <v>0.510614015065054</v>
      </c>
      <c r="H501" s="8"/>
      <c r="I501" s="8"/>
      <c r="J501" s="7" t="n">
        <v>0.489385984934946</v>
      </c>
    </row>
    <row r="502" customFormat="false" ht="15" hidden="false" customHeight="true" outlineLevel="0" collapsed="false">
      <c r="A502" s="4" t="s">
        <v>535</v>
      </c>
      <c r="B502" s="5" t="s">
        <v>498</v>
      </c>
      <c r="C502" s="5" t="s">
        <v>60</v>
      </c>
      <c r="D502" s="5" t="s">
        <v>18</v>
      </c>
      <c r="E502" s="6" t="n">
        <v>1180</v>
      </c>
      <c r="F502" s="6" t="n">
        <v>4474</v>
      </c>
      <c r="G502" s="7" t="n">
        <v>0.263746088511399</v>
      </c>
      <c r="H502" s="8"/>
      <c r="I502" s="8"/>
      <c r="J502" s="7" t="n">
        <v>0.736253911488601</v>
      </c>
    </row>
    <row r="503" customFormat="false" ht="15" hidden="false" customHeight="true" outlineLevel="0" collapsed="false">
      <c r="A503" s="4" t="s">
        <v>536</v>
      </c>
      <c r="B503" s="5" t="s">
        <v>498</v>
      </c>
      <c r="C503" s="5" t="s">
        <v>60</v>
      </c>
      <c r="D503" s="5" t="s">
        <v>20</v>
      </c>
      <c r="E503" s="6" t="n">
        <v>652</v>
      </c>
      <c r="F503" s="6" t="n">
        <v>1180</v>
      </c>
      <c r="G503" s="7" t="n">
        <v>0.552542372881356</v>
      </c>
      <c r="H503" s="8"/>
      <c r="I503" s="8"/>
      <c r="J503" s="7" t="n">
        <v>0.447457627118644</v>
      </c>
    </row>
    <row r="504" customFormat="false" ht="15" hidden="false" customHeight="true" outlineLevel="0" collapsed="false">
      <c r="A504" s="4" t="s">
        <v>537</v>
      </c>
      <c r="B504" s="5" t="s">
        <v>498</v>
      </c>
      <c r="C504" s="5" t="s">
        <v>60</v>
      </c>
      <c r="D504" s="5" t="s">
        <v>22</v>
      </c>
      <c r="E504" s="6" t="n">
        <v>283</v>
      </c>
      <c r="F504" s="6" t="n">
        <v>652</v>
      </c>
      <c r="G504" s="7" t="n">
        <v>0.434049079754601</v>
      </c>
      <c r="H504" s="8"/>
      <c r="I504" s="8"/>
      <c r="J504" s="7" t="n">
        <v>0.565950920245399</v>
      </c>
    </row>
    <row r="505" customFormat="false" ht="15" hidden="false" customHeight="true" outlineLevel="0" collapsed="false">
      <c r="A505" s="4" t="s">
        <v>538</v>
      </c>
      <c r="B505" s="5" t="s">
        <v>498</v>
      </c>
      <c r="C505" s="5" t="s">
        <v>60</v>
      </c>
      <c r="D505" s="5" t="s">
        <v>24</v>
      </c>
      <c r="E505" s="6" t="n">
        <v>174</v>
      </c>
      <c r="F505" s="6" t="n">
        <v>283</v>
      </c>
      <c r="G505" s="7" t="n">
        <v>0.614840989399293</v>
      </c>
      <c r="H505" s="8"/>
      <c r="I505" s="8"/>
      <c r="J505" s="7" t="n">
        <v>0.385159010600707</v>
      </c>
    </row>
    <row r="506" customFormat="false" ht="15" hidden="false" customHeight="true" outlineLevel="0" collapsed="false">
      <c r="A506" s="4" t="s">
        <v>539</v>
      </c>
      <c r="B506" s="5" t="s">
        <v>498</v>
      </c>
      <c r="C506" s="5" t="s">
        <v>60</v>
      </c>
      <c r="D506" s="5" t="s">
        <v>26</v>
      </c>
      <c r="E506" s="6" t="n">
        <v>125</v>
      </c>
      <c r="F506" s="6" t="n">
        <v>174</v>
      </c>
      <c r="G506" s="7" t="n">
        <v>0.718390804597701</v>
      </c>
      <c r="H506" s="8" t="n">
        <v>409375</v>
      </c>
      <c r="I506" s="8" t="n">
        <v>3275</v>
      </c>
      <c r="J506" s="7" t="n">
        <v>0.281609195402299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4"/>
    <col collapsed="false" customWidth="true" hidden="false" outlineLevel="0" max="3" min="3" style="1" width="20"/>
    <col collapsed="false" customWidth="true" hidden="false" outlineLevel="0" max="4" min="4" style="1" width="22"/>
    <col collapsed="false" customWidth="true" hidden="false" outlineLevel="0" max="5" min="5" style="1" width="26"/>
    <col collapsed="false" customWidth="true" hidden="false" outlineLevel="0" max="6" min="6" style="1" width="18"/>
  </cols>
  <sheetData>
    <row r="1" customFormat="false" ht="27.75" hidden="false" customHeight="true" outlineLevel="0" collapsed="false">
      <c r="A1" s="2" t="s">
        <v>540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541</v>
      </c>
      <c r="B2" s="3" t="s">
        <v>542</v>
      </c>
      <c r="C2" s="3" t="s">
        <v>543</v>
      </c>
      <c r="D2" s="3" t="s">
        <v>544</v>
      </c>
      <c r="E2" s="3" t="s">
        <v>545</v>
      </c>
      <c r="F2" s="3" t="s">
        <v>546</v>
      </c>
    </row>
    <row r="3" customFormat="false" ht="15" hidden="false" customHeight="true" outlineLevel="0" collapsed="false">
      <c r="A3" s="9" t="s">
        <v>14</v>
      </c>
      <c r="B3" s="6" t="n">
        <f aca="false">SUMIF(Funnel_Data!D3:D507,A3,Funnel_Data!E3:E507)</f>
        <v>637580</v>
      </c>
      <c r="C3" s="7" t="n">
        <f aca="false">IFERROR(AVERAGEIF(Funnel_Data!D3:D507,A3,Funnel_Data!G3:G507),0)</f>
        <v>0</v>
      </c>
      <c r="D3" s="8" t="n">
        <f aca="false">SUMIF(Funnel_Data!D3:D507,A3,Funnel_Data!H3:H507)</f>
        <v>0</v>
      </c>
      <c r="E3" s="8" t="n">
        <f aca="false">IFERROR(AVERAGEIF(Funnel_Data!D3:D507,A3,Funnel_Data!I3:I507),0)</f>
        <v>0</v>
      </c>
      <c r="F3" s="7" t="n">
        <f aca="false">IFERROR(AVERAGEIF(Funnel_Data!D3:D507,A3,Funnel_Data!J3:J507),0)</f>
        <v>0</v>
      </c>
    </row>
    <row r="4" customFormat="false" ht="15" hidden="false" customHeight="true" outlineLevel="0" collapsed="false">
      <c r="A4" s="9" t="s">
        <v>16</v>
      </c>
      <c r="B4" s="6" t="n">
        <f aca="false">SUMIF(Funnel_Data!D3:D507,A4,Funnel_Data!E3:E507)</f>
        <v>348309</v>
      </c>
      <c r="C4" s="7" t="n">
        <f aca="false">IFERROR(AVERAGEIF(Funnel_Data!D3:D507,A4,Funnel_Data!G3:G507),0)</f>
        <v>0.544350860745907</v>
      </c>
      <c r="D4" s="8" t="n">
        <f aca="false">SUMIF(Funnel_Data!D3:D507,A4,Funnel_Data!H3:H507)</f>
        <v>0</v>
      </c>
      <c r="E4" s="8" t="n">
        <f aca="false">IFERROR(AVERAGEIF(Funnel_Data!D3:D507,A4,Funnel_Data!I3:I507),0)</f>
        <v>0</v>
      </c>
      <c r="F4" s="7" t="n">
        <f aca="false">IFERROR(AVERAGEIF(Funnel_Data!D3:D507,A4,Funnel_Data!J3:J507),0)</f>
        <v>0.455649139254094</v>
      </c>
    </row>
    <row r="5" customFormat="false" ht="15" hidden="false" customHeight="true" outlineLevel="0" collapsed="false">
      <c r="A5" s="9" t="s">
        <v>18</v>
      </c>
      <c r="B5" s="6" t="n">
        <f aca="false">SUMIF(Funnel_Data!D3:D507,A5,Funnel_Data!E3:E507)</f>
        <v>102994</v>
      </c>
      <c r="C5" s="7" t="n">
        <f aca="false">IFERROR(AVERAGEIF(Funnel_Data!D3:D507,A5,Funnel_Data!G3:G507),0)</f>
        <v>0.296068971406569</v>
      </c>
      <c r="D5" s="8" t="n">
        <f aca="false">SUMIF(Funnel_Data!D3:D507,A5,Funnel_Data!H3:H507)</f>
        <v>0</v>
      </c>
      <c r="E5" s="8" t="n">
        <f aca="false">IFERROR(AVERAGEIF(Funnel_Data!D3:D507,A5,Funnel_Data!I3:I507),0)</f>
        <v>0</v>
      </c>
      <c r="F5" s="7" t="n">
        <f aca="false">IFERROR(AVERAGEIF(Funnel_Data!D3:D507,A5,Funnel_Data!J3:J507),0)</f>
        <v>0.703931028593431</v>
      </c>
    </row>
    <row r="6" customFormat="false" ht="15" hidden="false" customHeight="true" outlineLevel="0" collapsed="false">
      <c r="A6" s="9" t="s">
        <v>20</v>
      </c>
      <c r="B6" s="6" t="n">
        <f aca="false">SUMIF(Funnel_Data!D3:D507,A6,Funnel_Data!E3:E507)</f>
        <v>66429</v>
      </c>
      <c r="C6" s="7" t="n">
        <f aca="false">IFERROR(AVERAGEIF(Funnel_Data!D3:D507,A6,Funnel_Data!G3:G507),0)</f>
        <v>0.647241398004161</v>
      </c>
      <c r="D6" s="8" t="n">
        <f aca="false">SUMIF(Funnel_Data!D3:D507,A6,Funnel_Data!H3:H507)</f>
        <v>0</v>
      </c>
      <c r="E6" s="8" t="n">
        <f aca="false">IFERROR(AVERAGEIF(Funnel_Data!D3:D507,A6,Funnel_Data!I3:I507),0)</f>
        <v>0</v>
      </c>
      <c r="F6" s="7" t="n">
        <f aca="false">IFERROR(AVERAGEIF(Funnel_Data!D3:D507,A6,Funnel_Data!J3:J507),0)</f>
        <v>0.35275860199584</v>
      </c>
    </row>
    <row r="7" customFormat="false" ht="15" hidden="false" customHeight="true" outlineLevel="0" collapsed="false">
      <c r="A7" s="9" t="s">
        <v>22</v>
      </c>
      <c r="B7" s="6" t="n">
        <f aca="false">SUMIF(Funnel_Data!D3:D507,A7,Funnel_Data!E3:E507)</f>
        <v>29069</v>
      </c>
      <c r="C7" s="7" t="n">
        <f aca="false">IFERROR(AVERAGEIF(Funnel_Data!D3:D507,A7,Funnel_Data!G3:G507),0)</f>
        <v>0.439042641283942</v>
      </c>
      <c r="D7" s="8" t="n">
        <f aca="false">SUMIF(Funnel_Data!D3:D507,A7,Funnel_Data!H3:H507)</f>
        <v>0</v>
      </c>
      <c r="E7" s="8" t="n">
        <f aca="false">IFERROR(AVERAGEIF(Funnel_Data!D3:D507,A7,Funnel_Data!I3:I507),0)</f>
        <v>0</v>
      </c>
      <c r="F7" s="7" t="n">
        <f aca="false">IFERROR(AVERAGEIF(Funnel_Data!D3:D507,A7,Funnel_Data!J3:J507),0)</f>
        <v>0.560957358716058</v>
      </c>
    </row>
    <row r="8" customFormat="false" ht="15" hidden="false" customHeight="true" outlineLevel="0" collapsed="false">
      <c r="A8" s="9" t="s">
        <v>24</v>
      </c>
      <c r="B8" s="6" t="n">
        <f aca="false">SUMIF(Funnel_Data!D3:D507,A8,Funnel_Data!E3:E507)</f>
        <v>17361</v>
      </c>
      <c r="C8" s="7" t="n">
        <f aca="false">IFERROR(AVERAGEIF(Funnel_Data!D3:D507,A8,Funnel_Data!G3:G507),0)</f>
        <v>0.599633761693626</v>
      </c>
      <c r="D8" s="8" t="n">
        <f aca="false">SUMIF(Funnel_Data!D3:D507,A8,Funnel_Data!H3:H507)</f>
        <v>0</v>
      </c>
      <c r="E8" s="8" t="n">
        <f aca="false">IFERROR(AVERAGEIF(Funnel_Data!D3:D507,A8,Funnel_Data!I3:I507),0)</f>
        <v>0</v>
      </c>
      <c r="F8" s="7" t="n">
        <f aca="false">IFERROR(AVERAGEIF(Funnel_Data!D3:D507,A8,Funnel_Data!J3:J507),0)</f>
        <v>0.400366238306374</v>
      </c>
    </row>
    <row r="9" customFormat="false" ht="15" hidden="false" customHeight="true" outlineLevel="0" collapsed="false">
      <c r="A9" s="9" t="s">
        <v>26</v>
      </c>
      <c r="B9" s="6" t="n">
        <f aca="false">SUMIF(Funnel_Data!D3:D507,A9,Funnel_Data!E3:E507)</f>
        <v>12084</v>
      </c>
      <c r="C9" s="7" t="n">
        <f aca="false">IFERROR(AVERAGEIF(Funnel_Data!D3:D507,A9,Funnel_Data!G3:G507),0)</f>
        <v>0.693566031385054</v>
      </c>
      <c r="D9" s="8" t="n">
        <f aca="false">SUMIF(Funnel_Data!D3:D507,A9,Funnel_Data!H3:H507)</f>
        <v>32478487</v>
      </c>
      <c r="E9" s="8" t="n">
        <f aca="false">IFERROR(AVERAGEIF(Funnel_Data!D3:D507,A9,Funnel_Data!I3:I507),0)</f>
        <v>2593.59722222222</v>
      </c>
      <c r="F9" s="7" t="n">
        <f aca="false">IFERROR(AVERAGEIF(Funnel_Data!D3:D507,A9,Funnel_Data!J3:J507),0)</f>
        <v>0.306433968614946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6" min="4" style="1" width="22"/>
  </cols>
  <sheetData>
    <row r="1" customFormat="false" ht="27.75" hidden="false" customHeight="true" outlineLevel="0" collapsed="false">
      <c r="A1" s="2" t="s">
        <v>547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3</v>
      </c>
      <c r="B2" s="3" t="s">
        <v>548</v>
      </c>
      <c r="C2" s="3" t="s">
        <v>549</v>
      </c>
      <c r="D2" s="3" t="s">
        <v>550</v>
      </c>
      <c r="E2" s="3" t="s">
        <v>544</v>
      </c>
      <c r="F2" s="3" t="s">
        <v>551</v>
      </c>
    </row>
    <row r="3" customFormat="false" ht="15" hidden="false" customHeight="true" outlineLevel="0" collapsed="false">
      <c r="A3" s="9" t="s">
        <v>13</v>
      </c>
      <c r="B3" s="6" t="n">
        <f aca="false">SUMIFS(Funnel_Data!E3:E507,Funnel_Data!C3:C507,A3,Funnel_Data!D3:D507,"Website Visit")</f>
        <v>91928</v>
      </c>
      <c r="C3" s="6" t="n">
        <f aca="false">SUMIFS(Funnel_Data!E3:E507,Funnel_Data!C3:C507,A3,Funnel_Data!D3:D507,"Purchase")</f>
        <v>1740</v>
      </c>
      <c r="D3" s="7" t="n">
        <f aca="false">IF(B3&gt;0,C3/B3,0)</f>
        <v>0.0189278565834131</v>
      </c>
      <c r="E3" s="8" t="n">
        <f aca="false">SUMIFS(Funnel_Data!H3:H507,Funnel_Data!C3:C507,A3)</f>
        <v>4561344</v>
      </c>
      <c r="F3" s="8" t="n">
        <f aca="false">IF(C3&gt;0,E3/C3,0)</f>
        <v>2621.46206896552</v>
      </c>
    </row>
    <row r="4" customFormat="false" ht="15" hidden="false" customHeight="true" outlineLevel="0" collapsed="false">
      <c r="A4" s="9" t="s">
        <v>28</v>
      </c>
      <c r="B4" s="6" t="n">
        <f aca="false">SUMIFS(Funnel_Data!E3:E507,Funnel_Data!C3:C507,A4,Funnel_Data!D3:D507,"Website Visit")</f>
        <v>126167</v>
      </c>
      <c r="C4" s="6" t="n">
        <f aca="false">SUMIFS(Funnel_Data!E3:E507,Funnel_Data!C3:C507,A4,Funnel_Data!D3:D507,"Purchase")</f>
        <v>2477</v>
      </c>
      <c r="D4" s="7" t="n">
        <f aca="false">IF(B4&gt;0,C4/B4,0)</f>
        <v>0.0196327090285098</v>
      </c>
      <c r="E4" s="8" t="n">
        <f aca="false">SUMIFS(Funnel_Data!H3:H507,Funnel_Data!C3:C507,A4)</f>
        <v>8174205</v>
      </c>
      <c r="F4" s="8" t="n">
        <f aca="false">IF(C4&gt;0,E4/C4,0)</f>
        <v>3300.04238998789</v>
      </c>
    </row>
    <row r="5" customFormat="false" ht="15" hidden="false" customHeight="true" outlineLevel="0" collapsed="false">
      <c r="A5" s="9" t="s">
        <v>36</v>
      </c>
      <c r="B5" s="6" t="n">
        <f aca="false">SUMIFS(Funnel_Data!E3:E507,Funnel_Data!C3:C507,A5,Funnel_Data!D3:D507,"Website Visit")</f>
        <v>113512</v>
      </c>
      <c r="C5" s="6" t="n">
        <f aca="false">SUMIFS(Funnel_Data!E3:E507,Funnel_Data!C3:C507,A5,Funnel_Data!D3:D507,"Purchase")</f>
        <v>1986</v>
      </c>
      <c r="D5" s="7" t="n">
        <f aca="false">IF(B5&gt;0,C5/B5,0)</f>
        <v>0.0174959475650152</v>
      </c>
      <c r="E5" s="8" t="n">
        <f aca="false">SUMIFS(Funnel_Data!H3:H507,Funnel_Data!C3:C507,A5)</f>
        <v>3520472</v>
      </c>
      <c r="F5" s="8" t="n">
        <f aca="false">IF(C5&gt;0,E5/C5,0)</f>
        <v>1772.64451158107</v>
      </c>
    </row>
    <row r="6" customFormat="false" ht="15" hidden="false" customHeight="true" outlineLevel="0" collapsed="false">
      <c r="A6" s="9" t="s">
        <v>44</v>
      </c>
      <c r="B6" s="6" t="n">
        <f aca="false">SUMIFS(Funnel_Data!E3:E507,Funnel_Data!C3:C507,A6,Funnel_Data!D3:D507,"Website Visit")</f>
        <v>94492</v>
      </c>
      <c r="C6" s="6" t="n">
        <f aca="false">SUMIFS(Funnel_Data!E3:E507,Funnel_Data!C3:C507,A6,Funnel_Data!D3:D507,"Purchase")</f>
        <v>1834</v>
      </c>
      <c r="D6" s="7" t="n">
        <f aca="false">IF(B6&gt;0,C6/B6,0)</f>
        <v>0.0194090505016298</v>
      </c>
      <c r="E6" s="8" t="n">
        <f aca="false">SUMIFS(Funnel_Data!H3:H507,Funnel_Data!C3:C507,A6)</f>
        <v>4540909</v>
      </c>
      <c r="F6" s="8" t="n">
        <f aca="false">IF(C6&gt;0,E6/C6,0)</f>
        <v>2475.95910577972</v>
      </c>
    </row>
    <row r="7" customFormat="false" ht="15" hidden="false" customHeight="true" outlineLevel="0" collapsed="false">
      <c r="A7" s="9" t="s">
        <v>52</v>
      </c>
      <c r="B7" s="6" t="n">
        <f aca="false">SUMIFS(Funnel_Data!E3:E507,Funnel_Data!C3:C507,A7,Funnel_Data!D3:D507,"Website Visit")</f>
        <v>109333</v>
      </c>
      <c r="C7" s="6" t="n">
        <f aca="false">SUMIFS(Funnel_Data!E3:E507,Funnel_Data!C3:C507,A7,Funnel_Data!D3:D507,"Purchase")</f>
        <v>2033</v>
      </c>
      <c r="D7" s="7" t="n">
        <f aca="false">IF(B7&gt;0,C7/B7,0)</f>
        <v>0.0185945688858808</v>
      </c>
      <c r="E7" s="8" t="n">
        <f aca="false">SUMIFS(Funnel_Data!H3:H507,Funnel_Data!C3:C507,A7)</f>
        <v>7020428</v>
      </c>
      <c r="F7" s="8" t="n">
        <f aca="false">IF(C7&gt;0,E7/C7,0)</f>
        <v>3453.23561239547</v>
      </c>
    </row>
    <row r="8" customFormat="false" ht="15" hidden="false" customHeight="true" outlineLevel="0" collapsed="false">
      <c r="A8" s="9" t="s">
        <v>60</v>
      </c>
      <c r="B8" s="6" t="n">
        <f aca="false">SUMIFS(Funnel_Data!E3:E507,Funnel_Data!C3:C507,A8,Funnel_Data!D3:D507,"Website Visit")</f>
        <v>102148</v>
      </c>
      <c r="C8" s="6" t="n">
        <f aca="false">SUMIFS(Funnel_Data!E3:E507,Funnel_Data!C3:C507,A8,Funnel_Data!D3:D507,"Purchase")</f>
        <v>2014</v>
      </c>
      <c r="D8" s="7" t="n">
        <f aca="false">IF(B8&gt;0,C8/B8,0)</f>
        <v>0.019716489799115</v>
      </c>
      <c r="E8" s="8" t="n">
        <f aca="false">SUMIFS(Funnel_Data!H3:H507,Funnel_Data!C3:C507,A8)</f>
        <v>4661129</v>
      </c>
      <c r="F8" s="8" t="n">
        <f aca="false">IF(C8&gt;0,E8/C8,0)</f>
        <v>2314.36395233366</v>
      </c>
    </row>
    <row r="9" customFormat="false" ht="15" hidden="false" customHeight="true" outlineLevel="0" collapsed="false">
      <c r="A9" s="10" t="s">
        <v>552</v>
      </c>
      <c r="B9" s="11" t="n">
        <f aca="false">SUM(B3:B8)</f>
        <v>637580</v>
      </c>
      <c r="C9" s="11" t="n">
        <f aca="false">SUM(C3:C8)</f>
        <v>12084</v>
      </c>
      <c r="D9" s="12" t="n">
        <f aca="false">IF(B9&gt;0,C9/B9,0)</f>
        <v>0.018952915712538</v>
      </c>
      <c r="E9" s="13" t="n">
        <f aca="false">SUM(E3:E8)</f>
        <v>32478487</v>
      </c>
      <c r="F9" s="13" t="n">
        <f aca="false">IF(C9&gt;0,E9/C9,0)</f>
        <v>2687.72649784839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8"/>
    <col collapsed="false" customWidth="true" hidden="false" outlineLevel="0" max="3" min="3" style="1" width="42"/>
    <col collapsed="false" customWidth="true" hidden="false" outlineLevel="0" max="4" min="4" style="1" width="38"/>
  </cols>
  <sheetData>
    <row r="1" customFormat="false" ht="27.75" hidden="false" customHeight="true" outlineLevel="0" collapsed="false">
      <c r="A1" s="2" t="s">
        <v>553</v>
      </c>
      <c r="B1" s="2"/>
      <c r="C1" s="2"/>
      <c r="D1" s="2"/>
    </row>
    <row r="2" customFormat="false" ht="15" hidden="false" customHeight="true" outlineLevel="0" collapsed="false">
      <c r="A2" s="3" t="s">
        <v>554</v>
      </c>
      <c r="B2" s="3" t="s">
        <v>555</v>
      </c>
      <c r="C2" s="3" t="s">
        <v>556</v>
      </c>
      <c r="D2" s="3" t="s">
        <v>557</v>
      </c>
    </row>
    <row r="3" customFormat="false" ht="15" hidden="false" customHeight="true" outlineLevel="0" collapsed="false">
      <c r="A3" s="14" t="s">
        <v>558</v>
      </c>
      <c r="B3" s="15" t="n">
        <f aca="false">SUMIFS(Funnel_Data!E3:E507,Funnel_Data!D3:D507,"Website Visit")</f>
        <v>637580</v>
      </c>
      <c r="C3" s="16" t="n">
        <f aca="false">SUMIFS(Funnel_Data!E3:E507,Funnel_Data!D3:D507,"Website Visit")</f>
        <v>637580</v>
      </c>
      <c r="D3" s="17" t="s">
        <v>559</v>
      </c>
    </row>
    <row r="4" customFormat="false" ht="15" hidden="false" customHeight="true" outlineLevel="0" collapsed="false">
      <c r="A4" s="14" t="s">
        <v>560</v>
      </c>
      <c r="B4" s="18" t="n">
        <f aca="false">SUMIFS(Funnel_Data!E3:E507,Funnel_Data!D3:D507,"Signup")</f>
        <v>102994</v>
      </c>
      <c r="C4" s="16" t="n">
        <f aca="false">SUMIFS(Funnel_Data!E3:E507,Funnel_Data!D3:D507,"Signup")</f>
        <v>102994</v>
      </c>
      <c r="D4" s="17" t="s">
        <v>561</v>
      </c>
    </row>
    <row r="5" customFormat="false" ht="15" hidden="false" customHeight="true" outlineLevel="0" collapsed="false">
      <c r="A5" s="14" t="s">
        <v>549</v>
      </c>
      <c r="B5" s="18" t="n">
        <f aca="false">SUMIFS(Funnel_Data!E3:E507,Funnel_Data!D3:D507,"Purchase")</f>
        <v>12084</v>
      </c>
      <c r="C5" s="16" t="n">
        <f aca="false">SUMIFS(Funnel_Data!E3:E507,Funnel_Data!D3:D507,"Purchase")</f>
        <v>12084</v>
      </c>
      <c r="D5" s="17" t="s">
        <v>562</v>
      </c>
    </row>
    <row r="6" customFormat="false" ht="15" hidden="false" customHeight="true" outlineLevel="0" collapsed="false">
      <c r="A6" s="14" t="s">
        <v>563</v>
      </c>
      <c r="B6" s="19" t="n">
        <f aca="false">IF(B3&gt;0,B5/B3,0)</f>
        <v>0.018952915712538</v>
      </c>
      <c r="C6" s="16" t="n">
        <f aca="false">IF(B3&gt;0,B5/B3,0)</f>
        <v>0.018952915712538</v>
      </c>
      <c r="D6" s="17" t="s">
        <v>564</v>
      </c>
    </row>
    <row r="7" customFormat="false" ht="15" hidden="false" customHeight="true" outlineLevel="0" collapsed="false">
      <c r="A7" s="14" t="s">
        <v>544</v>
      </c>
      <c r="B7" s="20" t="n">
        <f aca="false">SUM(Funnel_Data!H3:H507)</f>
        <v>32478487</v>
      </c>
      <c r="C7" s="16" t="n">
        <f aca="false">SUM(Funnel_Data!H3:H507)</f>
        <v>32478487</v>
      </c>
      <c r="D7" s="17" t="s">
        <v>565</v>
      </c>
    </row>
    <row r="8" customFormat="false" ht="15" hidden="false" customHeight="true" outlineLevel="0" collapsed="false">
      <c r="A8" s="14" t="s">
        <v>551</v>
      </c>
      <c r="B8" s="20" t="n">
        <f aca="false">IF(B5&gt;0,B7/B5,0)</f>
        <v>2687.72649784839</v>
      </c>
      <c r="C8" s="16" t="n">
        <f aca="false">IF(B5&gt;0,B7/B5,0)</f>
        <v>2687.72649784839</v>
      </c>
      <c r="D8" s="17" t="s">
        <v>566</v>
      </c>
    </row>
    <row r="9" customFormat="false" ht="15" hidden="false" customHeight="true" outlineLevel="0" collapsed="false">
      <c r="A9" s="14" t="s">
        <v>567</v>
      </c>
      <c r="B9" s="19" t="n">
        <f aca="false">AVERAGEIFS(Funnel_Data!G3:G507,Funnel_Data!D3:D507,"Signup")</f>
        <v>0.296068971406569</v>
      </c>
      <c r="C9" s="16" t="n">
        <f aca="false">AVERAGEIFS(Funnel_Data!G3:G507,Funnel_Data!D3:D507,"Signup")</f>
        <v>0.296068971406569</v>
      </c>
      <c r="D9" s="17" t="s">
        <v>568</v>
      </c>
    </row>
    <row r="10" customFormat="false" ht="15" hidden="false" customHeight="true" outlineLevel="0" collapsed="false">
      <c r="A10" s="14" t="s">
        <v>569</v>
      </c>
      <c r="B10" s="19" t="n">
        <f aca="false">AVERAGEIFS(Funnel_Data!G3:G507,Funnel_Data!D3:D507,"Purchase")</f>
        <v>0.693566031385054</v>
      </c>
      <c r="C10" s="16" t="n">
        <f aca="false">AVERAGEIFS(Funnel_Data!G3:G507,Funnel_Data!D3:D507,"Purchase")</f>
        <v>0.693566031385054</v>
      </c>
      <c r="D10" s="17" t="s">
        <v>570</v>
      </c>
    </row>
    <row r="11" customFormat="false" ht="15" hidden="false" customHeight="true" outlineLevel="0" collapsed="false">
      <c r="A11" s="14" t="s">
        <v>571</v>
      </c>
      <c r="B11" s="21" t="str">
        <f aca="false">INDEX(Channel_Performance!A3:A9,MATCH(MAX(Channel_Performance!E3:E9),Channel_Performance!E3:E9,0))</f>
        <v>TOTAL</v>
      </c>
      <c r="C11" s="16" t="str">
        <f aca="false">INDEX(Channel_Performance!A3:A9,MATCH(MAX(Channel_Performance!E3:E9),Channel_Performance!E3:E9,0))</f>
        <v>TOTAL</v>
      </c>
      <c r="D11" s="17" t="s">
        <v>572</v>
      </c>
    </row>
    <row r="12" customFormat="false" ht="15" hidden="false" customHeight="true" outlineLevel="0" collapsed="false">
      <c r="A12" s="14" t="s">
        <v>573</v>
      </c>
      <c r="B12" s="18" t="n">
        <f aca="false">12</f>
        <v>12</v>
      </c>
      <c r="C12" s="16" t="n">
        <f aca="false">12</f>
        <v>12</v>
      </c>
      <c r="D12" s="17" t="s">
        <v>574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2026-06-08T16:32:37Z</dcterms:created>
  <dc:creator>openpyxl</dc:creator>
  <dc:description/>
  <dc:language>en-US</dc:language>
  <cp:lastModifiedBy/>
  <dcterms:modified xsi:type="dcterms:W3CDTF">2026-06-09T02:00:29Z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